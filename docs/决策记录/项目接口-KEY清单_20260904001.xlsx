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orkdoc\工作文档\接口汇总\KEYS清单\"/>
    </mc:Choice>
  </mc:AlternateContent>
  <bookViews>
    <workbookView windowWidth="19200" windowHeight="8080" activeTab="1"/>
  </bookViews>
  <sheets>
    <sheet name="可视化WebSocket订阅接口-解析字段说明" sheetId="1" r:id="rId1"/>
    <sheet name="郭村服务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<sst xmlns="http://schemas.openxmlformats.org/spreadsheetml/2006/main" count="1254" uniqueCount="401">
  <si>
    <t>归属项目</t>
  </si>
  <si>
    <t>1级分类(标签)</t>
  </si>
  <si>
    <t>1级名称(资产名称)</t>
  </si>
  <si>
    <t>2级分类(标签)</t>
  </si>
  <si>
    <t>2级名称(资产名称)</t>
  </si>
  <si>
    <t>中文名</t>
  </si>
  <si>
    <t>遥测属性key</t>
  </si>
  <si>
    <t>单位</t>
  </si>
  <si>
    <t>字符类型</t>
  </si>
  <si>
    <t>备注</t>
  </si>
  <si>
    <t>公式生效</t>
  </si>
  <si>
    <t>仙人山项目</t>
  </si>
  <si>
    <t>站内概况</t>
  </si>
  <si>
    <t>SITE_OVERVIEW</t>
  </si>
  <si>
    <t/>
  </si>
  <si>
    <t>G42_HIGHWAY_XIANRENSHAN:P_L</t>
  </si>
  <si>
    <t>总用电功率</t>
  </si>
  <si>
    <t>totalConsumptionPower</t>
  </si>
  <si>
    <t>kW</t>
  </si>
  <si>
    <t>双精度：0.00</t>
  </si>
  <si>
    <t>SSP1_GP4,5,6,7,9_IED1:P + 
SSP1_GP11~16_IED1:P + 
PDR4_LP1_IED1:P + 
PDR4_LP9_IED1:P + 
abs[PDR1_PGC1_METER1:P + PDR1_PGC2_METER1:P + PDR1_PGC3_METER1:P], 
abs[]为绝对值运算</t>
  </si>
  <si>
    <t>已编制生效</t>
  </si>
  <si>
    <t>G42_HIGHWAY_XIANRENSHAN:P_G</t>
  </si>
  <si>
    <t>总发电功率</t>
  </si>
  <si>
    <t>totalGenerationPower</t>
  </si>
  <si>
    <t>abs[PDR1_PGC1_METER1:P + PDR1_PGC2_METER1:P + PDR1_PGC3_METER1:P + PDR4_PGC1_METER1:P + SSP1_GP8_IED1:P]</t>
  </si>
  <si>
    <t>告警信息</t>
  </si>
  <si>
    <t>ALARM_INFO</t>
  </si>
  <si>
    <t>告警详情</t>
  </si>
  <si>
    <t>alarmDetail</t>
  </si>
  <si>
    <r>
      <rPr>
        <sz val="11"/>
        <color rgb="FFFF0000"/>
        <rFont val="宋体"/>
        <charset val="134"/>
        <scheme val="minor"/>
      </rPr>
      <t>电压越限（400V母线相电压PDR1_LP1_IED1/PDR1_LP9_IED1/PDR4_LP1_IED1/PDR4_LP9_IED1）</t>
    </r>
    <r>
      <rPr>
        <sz val="11"/>
        <color theme="1"/>
        <rFont val="宋体"/>
        <charset val="134"/>
        <scheme val="minor"/>
      </rPr>
      <t>，</t>
    </r>
    <r>
      <rPr>
        <sz val="11"/>
        <color rgb="FF0070C0"/>
        <rFont val="宋体"/>
        <charset val="134"/>
        <scheme val="minor"/>
      </rPr>
      <t>开关变位</t>
    </r>
  </si>
  <si>
    <t>①Ua 超过242v，持续20s，越上限， 回到235v持续20s越上限回归；  低于198v，持续20s，越下限， 回到205v持续20s越下限回归；
②Ub超过242v，持续20s，越上限， 回到235v持续20s越上限回归；  低于198v，持续20s，越下限， 回到205v持续20s越下限回归；
③Uc 超过242v，持续20s，越上限， 回到235v持续20s越上限回归；  低于198v，持续20s，越下限， 回到205v持续20s越下限回归；</t>
  </si>
  <si>
    <t>时间</t>
  </si>
  <si>
    <t>ts</t>
  </si>
  <si>
    <t>新能源</t>
  </si>
  <si>
    <t>仙人山（移到网关设备，计算公式也从资产改到网关，后面对应的资产删掉；同时遥测命名要加前缀）</t>
  </si>
  <si>
    <t>光伏发电</t>
  </si>
  <si>
    <t>NEW_ENERGY_PV_GENERATION</t>
  </si>
  <si>
    <t>装机容量</t>
  </si>
  <si>
    <t>GFFD_pvInstalledCapacity</t>
  </si>
  <si>
    <t>kWp</t>
  </si>
  <si>
    <t>在线容量</t>
  </si>
  <si>
    <t>GFFD_pvOnlineCapacity</t>
  </si>
  <si>
    <t>尽量获取每个光伏逆变器的通信+运行ok状态？</t>
  </si>
  <si>
    <t>实发功率</t>
  </si>
  <si>
    <t>GFFD_pvActualPower</t>
  </si>
  <si>
    <t>abs[PDR1_PGC1_METER1:P + PDR1_PGC2_METER1:P + PDR1_PGC3_METER1:P + PDR4_PGC1_METER1:P]</t>
  </si>
  <si>
    <t>发电总量</t>
  </si>
  <si>
    <t>GFFD_pvTotalGeneration</t>
  </si>
  <si>
    <t>MWh</t>
  </si>
  <si>
    <t>从积能获取</t>
  </si>
  <si>
    <t>收益总量</t>
  </si>
  <si>
    <t>GFFD_pvTotalIncome</t>
  </si>
  <si>
    <t>万元</t>
  </si>
  <si>
    <t>？？？</t>
  </si>
  <si>
    <t>风力发电</t>
  </si>
  <si>
    <t>NEW_ENERGY_WIND_GENERATION</t>
  </si>
  <si>
    <t>FLFD_pvInstalledCapacity</t>
  </si>
  <si>
    <t>FLFD_pvOnlineCapacity</t>
  </si>
  <si>
    <t>FLFD_pvActualPower</t>
  </si>
  <si>
    <t>abs[SSP1_GP16_IED1:P]</t>
  </si>
  <si>
    <t>FLFD_pvTotalGeneration</t>
  </si>
  <si>
    <t>FLFD_pvTotalIncome</t>
  </si>
  <si>
    <t>柔直互联</t>
  </si>
  <si>
    <t>NEW_ENERGY_FLEXIBLE_DC_INTERCONNECTION</t>
  </si>
  <si>
    <t>RZHL_pvInstalledCapacity</t>
  </si>
  <si>
    <t>按0设置</t>
  </si>
  <si>
    <t>RZHL_pvOnlineCapacity</t>
  </si>
  <si>
    <t>当前功率</t>
  </si>
  <si>
    <t>RZHL_currentPower</t>
  </si>
  <si>
    <t>正向转移电量</t>
  </si>
  <si>
    <t>RZHL_forwardEnergy</t>
  </si>
  <si>
    <t>反向转移电量</t>
  </si>
  <si>
    <t>RZHL_reverseEnergy</t>
  </si>
  <si>
    <t>储能系统</t>
  </si>
  <si>
    <t>NEW_ENERGY_ENERGY_STORAGE_SYSTEM</t>
  </si>
  <si>
    <t>装机容量 (功率/容量)</t>
  </si>
  <si>
    <t>CNXT_installedCapacity/CNXT_ratedEnergy</t>
  </si>
  <si>
    <t>kW/kWh</t>
  </si>
  <si>
    <t>在线容量 (功率/容量)</t>
  </si>
  <si>
    <t>CNXT_onlineCapacity/CNXT_availableEnergy</t>
  </si>
  <si>
    <t>实时功率</t>
  </si>
  <si>
    <t>CNXT_realTimePower</t>
  </si>
  <si>
    <t>充电总量</t>
  </si>
  <si>
    <t>CNXT_totalCharge</t>
  </si>
  <si>
    <t>放电总量</t>
  </si>
  <si>
    <t>CNXT_totalDischarge</t>
  </si>
  <si>
    <t>总SOC值</t>
  </si>
  <si>
    <t>CNXT_totalSoc</t>
  </si>
  <si>
    <t>%</t>
  </si>
  <si>
    <t>EV 充电</t>
  </si>
  <si>
    <t>NEW_ENERGY_EV_CHARGING</t>
  </si>
  <si>
    <t>枪头数 / 在用数</t>
  </si>
  <si>
    <t>EVCD_evGunTotal/ EVCD_evGunInUse</t>
  </si>
  <si>
    <t>个</t>
  </si>
  <si>
    <t>从星星充电平台获取，TB中做</t>
  </si>
  <si>
    <t>EVCD_installedCapacity</t>
  </si>
  <si>
    <t>限制功率</t>
  </si>
  <si>
    <t>EVCD_powerLimit</t>
  </si>
  <si>
    <t>EVCD_realTimePower</t>
  </si>
  <si>
    <t xml:space="preserve">PDR1_DP1_METER1:P + SSP2_GP4_IED1:P </t>
  </si>
  <si>
    <t>EVCD_totalCharge</t>
  </si>
  <si>
    <t>省级平台</t>
  </si>
  <si>
    <t>JIZHAN_ALL_GFFD</t>
  </si>
  <si>
    <t>在线</t>
  </si>
  <si>
    <t>GFFD_online</t>
  </si>
  <si>
    <t>站点数</t>
  </si>
  <si>
    <t>GFFD_stationCount</t>
  </si>
  <si>
    <t>JIZHAN_ALL_FLFD</t>
  </si>
  <si>
    <t>FLFD_online</t>
  </si>
  <si>
    <t>FLFD_stationCount</t>
  </si>
  <si>
    <t>JIZHAN_ALL_RZHL</t>
  </si>
  <si>
    <t>RZHL_online</t>
  </si>
  <si>
    <t>RZHL_stationCount</t>
  </si>
  <si>
    <t>JIZHAN_ALL_CNXT</t>
  </si>
  <si>
    <t>CNXT_online</t>
  </si>
  <si>
    <t>CNXT_stationCount</t>
  </si>
  <si>
    <t>JIZHAN_ALL_CNXT2</t>
  </si>
  <si>
    <t>JIZHAN_ALL_EVCD2</t>
  </si>
  <si>
    <t>JIZHAN_ALL_EVCD</t>
  </si>
  <si>
    <t>EVCD_online</t>
  </si>
  <si>
    <t>EVCD_stationCount</t>
  </si>
  <si>
    <t>运营简况1</t>
  </si>
  <si>
    <t>仙人山</t>
  </si>
  <si>
    <t>XRS_OPERATION_OVERVIEW</t>
  </si>
  <si>
    <t>用电总量</t>
  </si>
  <si>
    <t>totalConsumption</t>
  </si>
  <si>
    <t>功率时间积分法</t>
  </si>
  <si>
    <t>totalGeneration</t>
  </si>
  <si>
    <t>EV 充电量</t>
  </si>
  <si>
    <t>evChargingVolume</t>
  </si>
  <si>
    <t>从星星充电平台获取</t>
  </si>
  <si>
    <t>售电收益</t>
  </si>
  <si>
    <t>revenueSales</t>
  </si>
  <si>
    <t>绿电上网电量（4个进线处功率时间积分计算负功率）*时段售价（可设值：0.29/kWh）</t>
  </si>
  <si>
    <t>已编制生效/南区</t>
  </si>
  <si>
    <r>
      <rPr>
        <sz val="11"/>
        <color theme="1"/>
        <rFont val="宋体"/>
        <charset val="134"/>
        <scheme val="minor"/>
      </rPr>
      <t xml:space="preserve">南区绿电上网电量 =  PDR4_H1_IED1+ PDR4_H8_IED1 功率要判断结果是负数再积分才算 
北区绿电上网电量 = SSP1_GP1_IED1 反向有功电量  </t>
    </r>
    <r>
      <rPr>
        <sz val="11"/>
        <color rgb="FFFF0000"/>
        <rFont val="宋体"/>
        <charset val="134"/>
        <scheme val="minor"/>
      </rPr>
      <t xml:space="preserve"> （正反 两个量，待澄清）  </t>
    </r>
    <r>
      <rPr>
        <sz val="11"/>
        <color theme="1"/>
        <rFont val="宋体"/>
        <charset val="134"/>
        <scheme val="minor"/>
      </rPr>
      <t xml:space="preserve">           
绿电上网电量  = 南区绿电上网电量 + 北区绿电上网电量</t>
    </r>
  </si>
  <si>
    <t>目前计算了南区用电总量，售电收益定义了资产遥测订阅及公式计算了南区售电收益</t>
  </si>
  <si>
    <t>减支收益</t>
  </si>
  <si>
    <t>revenueSavings</t>
  </si>
  <si>
    <t>绿电自消纳电量*用电电价（0.75，可配置）</t>
  </si>
  <si>
    <t>碳减排量</t>
  </si>
  <si>
    <t>carbonReduction</t>
  </si>
  <si>
    <t>万 tCO2</t>
  </si>
  <si>
    <t>绿电总发电量*一度电对应二氧化碳量（可查）</t>
  </si>
  <si>
    <t>储能循环数</t>
  </si>
  <si>
    <t>storageCycles</t>
  </si>
  <si>
    <t>次</t>
  </si>
  <si>
    <t>省级</t>
  </si>
  <si>
    <t>废弃</t>
  </si>
  <si>
    <t>JIZHAN_ALL_OPERATION_OVERVIEW</t>
  </si>
  <si>
    <t>JIZHAN_ALL_OPERATION_OVERVIEW2</t>
  </si>
  <si>
    <t>运营简况-图表</t>
  </si>
  <si>
    <t>暂时废弃</t>
  </si>
  <si>
    <t>XRS_OPERATION_CHART</t>
  </si>
  <si>
    <t>绿电自洽率</t>
  </si>
  <si>
    <t>metricGreenSufficiencyRate</t>
  </si>
  <si>
    <t>（自用的绿电量 ÷ 总用电量）× 100%
自用的绿电量=绿电发电总量-倒送电网电量</t>
  </si>
  <si>
    <t>绿电消纳率</t>
  </si>
  <si>
    <t>metricGreenConsumptionRate</t>
  </si>
  <si>
    <t>（实际消纳的绿电量 ÷ 绿电总发电量）× 100%
实际消纳电量=绿电发电总量-倒送电网电量</t>
  </si>
  <si>
    <t>柔直利用率</t>
  </si>
  <si>
    <t>metricSoftLinkUtilizationRate</t>
  </si>
  <si>
    <t>电桩利用率</t>
  </si>
  <si>
    <t>metricEvChargerUtilizationRate</t>
  </si>
  <si>
    <t>NA</t>
  </si>
  <si>
    <t>JIZHAN_ALL_OPERATION_CHART</t>
  </si>
  <si>
    <t>明日预测-用电预测</t>
  </si>
  <si>
    <t>TOMORROW_LOAD_FORECAST</t>
  </si>
  <si>
    <t>用电总量 (预测)</t>
  </si>
  <si>
    <t>forecastConsumptionTotal</t>
  </si>
  <si>
    <t>搁置</t>
  </si>
  <si>
    <t>峰值功率 (预测)</t>
  </si>
  <si>
    <t>forecastConsumptionPeakPower</t>
  </si>
  <si>
    <t>MW</t>
  </si>
  <si>
    <t>峰值时段 (预测)</t>
  </si>
  <si>
    <t>forecastConsumptionPeakTimeRange</t>
  </si>
  <si>
    <t>HH:mm 至 HH:mm</t>
  </si>
  <si>
    <t>明日预测-发电预测</t>
  </si>
  <si>
    <t>TOMORROW_GEN_FORECAST</t>
  </si>
  <si>
    <t>发电总量 (预测)</t>
  </si>
  <si>
    <t>forecastGenerationTotal</t>
  </si>
  <si>
    <t>实时曲线</t>
  </si>
  <si>
    <t>负荷总功率</t>
  </si>
  <si>
    <t>JIZHAN_ALL_REAL_CURVE</t>
  </si>
  <si>
    <t>tsLoadPowerTotal</t>
  </si>
  <si>
    <t>已编制半</t>
  </si>
  <si>
    <t>光伏出力总功率</t>
  </si>
  <si>
    <t>tsPvPowerTotal</t>
  </si>
  <si>
    <t>风电出力总功率</t>
  </si>
  <si>
    <t>tsWindPowerTotal</t>
  </si>
  <si>
    <t>绿电出力总功率</t>
  </si>
  <si>
    <t>tsGreenPowerTotal</t>
  </si>
  <si>
    <t>EV充电总功率</t>
  </si>
  <si>
    <t>EV 充电总功率</t>
  </si>
  <si>
    <t>tsEvPowerCharging</t>
  </si>
  <si>
    <t>EV充电限制功率</t>
  </si>
  <si>
    <t>EV 充电限制功率</t>
  </si>
  <si>
    <t>tsEvPowerLimit</t>
  </si>
  <si>
    <t>主变容量</t>
  </si>
  <si>
    <t>tsTransformerCapacityRated</t>
  </si>
  <si>
    <t>kVA</t>
  </si>
  <si>
    <t>10010；仙人山为多配电房多变压器，仅统计负荷用电主变</t>
  </si>
  <si>
    <t>联络线交换功率（有正负 ）</t>
  </si>
  <si>
    <t>tsGridExchangePower</t>
  </si>
  <si>
    <t>仙人山没有柔直，NA</t>
  </si>
  <si>
    <t>没有</t>
  </si>
  <si>
    <t>预测负荷功率</t>
  </si>
  <si>
    <t>tsLoadPowerForecast</t>
  </si>
  <si>
    <t>预测发电出力</t>
  </si>
  <si>
    <t>tsGenerationPowerForecast</t>
  </si>
  <si>
    <t xml:space="preserve">仙人山
</t>
  </si>
  <si>
    <t>最顶层资产：
XRS_STATION_REAL_CURVE</t>
  </si>
  <si>
    <t>XRS_REALTIME_TOTAL_LOAD_POWER</t>
  </si>
  <si>
    <t>XRS_REALTIME_TOTAL_PV_POWER</t>
  </si>
  <si>
    <t>XRS_REALTIME_TOTAL_WIND_POWER</t>
  </si>
  <si>
    <t>XRS_REALTIME_TOTAL_GREEN_POWER</t>
  </si>
  <si>
    <t>XRS_REALTIME_TOTAL_EV_CHARGING_POWER</t>
  </si>
  <si>
    <t>XRS_STATION_REAL_CURVE2</t>
  </si>
  <si>
    <t>XRS_REALTIME_EV_CHARGING_LIMIT_POWER</t>
  </si>
  <si>
    <t>XRS_REALTIME_MAIN_TRANSFORMER_CAPACITY</t>
  </si>
  <si>
    <t>XRS_REALTIME_TIE_LINE_EXCHANGE_POWER</t>
  </si>
  <si>
    <t>XRS_REALTIME_PREDICTED_LOAD_POWER</t>
  </si>
  <si>
    <t>XRS_REALTIME_PREDICTED_GENERATION_POWER</t>
  </si>
  <si>
    <t>历史曲线</t>
  </si>
  <si>
    <t>XRS_STATION_HIST_CURVE</t>
  </si>
  <si>
    <t>XRS_HIST_TOTAL_POWER_CONSUMPTION</t>
  </si>
  <si>
    <t>总用电量</t>
  </si>
  <si>
    <t>histConsumptionTotal</t>
  </si>
  <si>
    <t>kWh</t>
  </si>
  <si>
    <t>总用电功率时间积分，TB计算</t>
  </si>
  <si>
    <t>实时总用电功率时间积分并累加；同站内概况</t>
  </si>
  <si>
    <t>XRS_HIST_TOTAL_POWER_GENERATION</t>
  </si>
  <si>
    <t>总发电量</t>
  </si>
  <si>
    <t>histGenerationTotal</t>
  </si>
  <si>
    <r>
      <rPr>
        <sz val="11"/>
        <color theme="1"/>
        <rFont val="宋体"/>
        <charset val="134"/>
        <scheme val="minor"/>
      </rPr>
      <t>总用电</t>
    </r>
    <r>
      <rPr>
        <sz val="11"/>
        <color rgb="FFFF0000"/>
        <rFont val="宋体"/>
        <charset val="134"/>
        <scheme val="minor"/>
      </rPr>
      <t>(发电？)</t>
    </r>
    <r>
      <rPr>
        <sz val="11"/>
        <color theme="1"/>
        <rFont val="宋体"/>
        <charset val="134"/>
        <scheme val="minor"/>
      </rPr>
      <t>功率时间积分，TB计算</t>
    </r>
    <r>
      <rPr>
        <sz val="11"/>
        <color rgb="FF7030A0"/>
        <rFont val="宋体"/>
        <charset val="134"/>
        <scheme val="minor"/>
      </rPr>
      <t>【从积能获取】</t>
    </r>
  </si>
  <si>
    <t>XRS_HIST_TOTAL_EV_CHARGING_ENERGY</t>
  </si>
  <si>
    <t>EV 总充电量</t>
  </si>
  <si>
    <t>histEvEnergyTotal</t>
  </si>
  <si>
    <t>XRS_HIST_TOTAL_STORAGE_CHARGING_ENERGY</t>
  </si>
  <si>
    <t>储能充电总电量</t>
  </si>
  <si>
    <t>histStorageEnergyCharge</t>
  </si>
  <si>
    <t>XRS_HIST_TOTAL_STORAGE_DISCHARGING_ENERGY</t>
  </si>
  <si>
    <t>储能放电总电量</t>
  </si>
  <si>
    <t>histStorageEnergyDischarge</t>
  </si>
  <si>
    <t xml:space="preserve"> XRS_STATION_HIST_CURVE2</t>
  </si>
  <si>
    <t>XRS_HIST_TOTAL_FLEXIBLE_DC_EXCHANGE_ENERGY</t>
  </si>
  <si>
    <t>柔直交换总电量</t>
  </si>
  <si>
    <t>histSoftlinkEnergyTotal</t>
  </si>
  <si>
    <t>XRS_HIST_STORAGE</t>
  </si>
  <si>
    <t>histStorageCycles</t>
  </si>
  <si>
    <t>整形</t>
  </si>
  <si>
    <t>储能利用率</t>
  </si>
  <si>
    <t>histStorageUtilizationRate</t>
  </si>
  <si>
    <t>XRS_HIST_CHARGING_PILE_UTILIZATION</t>
  </si>
  <si>
    <t>histEvUtilizationRate</t>
  </si>
  <si>
    <t>XRS_HIST_FLEXIBLE_DC_UTILIZATION</t>
  </si>
  <si>
    <t>histSoftlinkUtilizationRate</t>
  </si>
  <si>
    <t>XRS_STATION_HIST_CURVE3</t>
  </si>
  <si>
    <t>XRS_HIST_GREEN_POWER_CONSUMPTION_RATE</t>
  </si>
  <si>
    <t>histGreenConsumptionRate</t>
  </si>
  <si>
    <t>XRS_HIST_GREEN_POWER_SELF_SUFFICIENCY_RATE</t>
  </si>
  <si>
    <t>histGreenSelfSufficiencyRate</t>
  </si>
  <si>
    <t>JIZHAN_ALL_HIS_CURVE</t>
  </si>
  <si>
    <t>JIZHAN_ALL_HIS_CURVE2</t>
  </si>
  <si>
    <t>JIZHAN_ALL_HIS_CURVE3</t>
  </si>
  <si>
    <t>郭村服务区</t>
  </si>
  <si>
    <t>基站储能项目</t>
  </si>
  <si>
    <t>运营概况-全站</t>
  </si>
  <si>
    <t>JIZHAN_BUSINESS_OVERVIEW</t>
  </si>
  <si>
    <t>资产类型</t>
  </si>
  <si>
    <t>站点数量</t>
  </si>
  <si>
    <t>stationCount</t>
  </si>
  <si>
    <t>固定值</t>
  </si>
  <si>
    <t>installedCapacity</t>
  </si>
  <si>
    <t>累计充电量</t>
  </si>
  <si>
    <t>totalChargeEnergy</t>
  </si>
  <si>
    <t>统计值：当前正向总有功电能</t>
  </si>
  <si>
    <t>累计放电量</t>
  </si>
  <si>
    <t>totalDischargeEnergy</t>
  </si>
  <si>
    <t>统计值：当前反向总有功电能</t>
  </si>
  <si>
    <t>累计收益</t>
  </si>
  <si>
    <t>totalRevenue</t>
  </si>
  <si>
    <t>RMB</t>
  </si>
  <si>
    <t>统计值：单小时净收益=(Δ正向电量×该时段电价)−(Δ反向电量×该时段电价)；累计收益=单小时净收益和；5个KW 16度电</t>
  </si>
  <si>
    <t>WEBSOCKET协议</t>
  </si>
  <si>
    <t>站点名称、详情、时间：系统状态告警-烟感告警</t>
  </si>
  <si>
    <t>安全指标-全站</t>
  </si>
  <si>
    <t>站点状态指标：订阅各个站点的遥测key（设备类型）：SYS_NORMAL</t>
  </si>
  <si>
    <t>系统正常状态</t>
  </si>
  <si>
    <t>SYS_NORMAL</t>
  </si>
  <si>
    <t>1正常 0告警</t>
  </si>
  <si>
    <t>实时功率曲线-全站</t>
  </si>
  <si>
    <t>JIZHAN_P_REAL</t>
  </si>
  <si>
    <t>realTimePower</t>
  </si>
  <si>
    <t>基站电价配置表(通用)</t>
  </si>
  <si>
    <t>JIZHAN_EELECTRICITY_PRICE_CONFIG</t>
  </si>
  <si>
    <t>electricityPrice</t>
  </si>
  <si>
    <t>数组</t>
  </si>
  <si>
    <t>基站通配资产</t>
  </si>
  <si>
    <t>JIZHAN_COMMON_CONFIG</t>
  </si>
  <si>
    <t>告警关联设备</t>
  </si>
  <si>
    <t>alarm_entity</t>
  </si>
  <si>
    <t>实时曲线关联设备(站点)</t>
  </si>
  <si>
    <t>real_p_config</t>
  </si>
  <si>
    <t>安全指标关联设备</t>
  </si>
  <si>
    <t>safe_config</t>
  </si>
  <si>
    <t>基站1-实时功率-今日电量</t>
  </si>
  <si>
    <t>JIZHAN_STATION1_P_AND_KWH</t>
  </si>
  <si>
    <t>站点1-实时功率</t>
  </si>
  <si>
    <t>P1</t>
  </si>
  <si>
    <t>站点1-今日充电量</t>
  </si>
  <si>
    <t>C_EP1</t>
  </si>
  <si>
    <t>站点1-今日放电量</t>
  </si>
  <si>
    <t>F_EP1</t>
  </si>
  <si>
    <t>基站2-实时功率-今日电量</t>
  </si>
  <si>
    <t>JIZHAN_STATION2_P_AND_KWH</t>
  </si>
  <si>
    <t>站点2-实时功率</t>
  </si>
  <si>
    <t>P2</t>
  </si>
  <si>
    <t>站点2-今日充电量</t>
  </si>
  <si>
    <t>C_EP2</t>
  </si>
  <si>
    <t>站点2-今日放电量</t>
  </si>
  <si>
    <t>F_EP2</t>
  </si>
  <si>
    <t>静态属性配置</t>
  </si>
  <si>
    <t>站点级</t>
  </si>
  <si>
    <t>站点基础信息</t>
  </si>
  <si>
    <t>base_info</t>
  </si>
  <si>
    <t>站点告警设备清单</t>
  </si>
  <si>
    <t>alarm_devices</t>
  </si>
  <si>
    <t>公共资产类</t>
  </si>
  <si>
    <t>告警资产</t>
  </si>
  <si>
    <t>JIZHAN_ALARM_CONFIG</t>
  </si>
  <si>
    <t>告警模板</t>
  </si>
  <si>
    <t>alarm_config</t>
  </si>
  <si>
    <t>公共资产</t>
  </si>
  <si>
    <t>省级平台配置</t>
  </si>
  <si>
    <t>郭村项目</t>
  </si>
  <si>
    <t>GC_SITE_OVERVIEW</t>
  </si>
  <si>
    <t>GUOC_LV_METER:P1+GUOC_LV_METER:P2-GUOC_NE_J2:P +GUOC_TOTAL_CPJ1:P</t>
  </si>
  <si>
    <t>GUOC_PV250_PJ01:P+GUOC_PV320_PJ02:P</t>
  </si>
  <si>
    <t>电压越限（400V母线相电压GUOC_LV_METER:UAB1 UAB2），开关变位</t>
  </si>
  <si>
    <t>郭村服务区（移到网关设备，计算公式也从资产改到网关，后面对应的资产删掉；同时遥测命名要加前缀）</t>
  </si>
  <si>
    <t>判据GUOC_PV250_PJ01:COM  、 GUOC_PV320_PJ02:COM</t>
  </si>
  <si>
    <t>GUOC_PV250_PJ01:(EP-)+GUOC_PV320_PJ02:(EP-)</t>
  </si>
  <si>
    <t>？</t>
  </si>
  <si>
    <t>pvInstalledCapacity</t>
  </si>
  <si>
    <t>pvOnlineCapacity</t>
  </si>
  <si>
    <t>pvActualPower</t>
  </si>
  <si>
    <t>pvTotalGeneration</t>
  </si>
  <si>
    <t>pvTotalIncome</t>
  </si>
  <si>
    <t>currentPower</t>
  </si>
  <si>
    <r>
      <rPr>
        <sz val="11"/>
        <color theme="1"/>
        <rFont val="宋体"/>
        <charset val="134"/>
        <scheme val="minor"/>
      </rPr>
      <t>GUOC_ER</t>
    </r>
    <r>
      <rPr>
        <sz val="11"/>
        <color theme="1"/>
        <rFont val="宋体"/>
        <charset val="134"/>
        <scheme val="minor"/>
      </rPr>
      <t>:P</t>
    </r>
  </si>
  <si>
    <t>forwardEnergy</t>
  </si>
  <si>
    <t>reverseEnergy</t>
  </si>
  <si>
    <t>installedCapacity/ratedEnergy</t>
  </si>
  <si>
    <t>300kW783kWh</t>
  </si>
  <si>
    <t>onlineCapacity/availableEnergy</t>
  </si>
  <si>
    <r>
      <rPr>
        <sz val="11"/>
        <color theme="1"/>
        <rFont val="宋体"/>
        <charset val="134"/>
        <scheme val="minor"/>
      </rPr>
      <t>判据GUOC_ESS</t>
    </r>
    <r>
      <rPr>
        <sz val="11"/>
        <color theme="1"/>
        <rFont val="宋体"/>
        <charset val="134"/>
        <scheme val="minor"/>
      </rPr>
      <t>:COM =1 ，所有均在线</t>
    </r>
  </si>
  <si>
    <t>GUOC_ESS_1420：P</t>
  </si>
  <si>
    <t>totalCharge</t>
  </si>
  <si>
    <t>GUOC_ESS_METER：EP</t>
  </si>
  <si>
    <t>totalDischarge</t>
  </si>
  <si>
    <t>GUOC_ESS_METER：EP-</t>
  </si>
  <si>
    <t>totalSoc</t>
  </si>
  <si>
    <r>
      <rPr>
        <sz val="11"/>
        <color theme="1"/>
        <rFont val="宋体"/>
        <charset val="134"/>
        <scheme val="minor"/>
      </rPr>
      <t>GUOC_ESS：</t>
    </r>
    <r>
      <rPr>
        <sz val="11"/>
        <color theme="1"/>
        <rFont val="宋体"/>
        <charset val="134"/>
        <scheme val="minor"/>
      </rPr>
      <t>soc</t>
    </r>
  </si>
  <si>
    <t>evGunTotal/ evGunInUse</t>
  </si>
  <si>
    <t>8/ GUOC_CP_1的GUN1_STATE、GUN2_STATE;GUOC_CP_2的 GUN1_STATE、GUN2_STATE  GUOC_CP_3的GUN1_STATE、GUN2_STATE、GUOC_CP_4的GUN1_STATE、GUN2_STATE上面8个yc == 1 （充电中）</t>
  </si>
  <si>
    <t>powerLimit</t>
  </si>
  <si>
    <t>GUOC_CP_1的limit_p + GUOC_CP_2的limit_p + GUOC_CP_3的limit_p + GUOC_CP_4的limit_p + GUOC_CP_5的limit_p</t>
  </si>
  <si>
    <t>GUOC_TOTAL_CPJ1:P</t>
  </si>
  <si>
    <t>GUOC_TOTAL_CPJ1:EP</t>
  </si>
  <si>
    <t>GUOC_LV_METER:EP1 + GUOC_LV_METER:EP2</t>
  </si>
  <si>
    <t>GUOC_ESS_METER:EP-</t>
  </si>
  <si>
    <t>?</t>
  </si>
  <si>
    <t>（自用的绿电量? ÷ 总用电量）× 100%
自用的绿电量=绿电发电总量-倒送电网电量</t>
  </si>
  <si>
    <t xml:space="preserve">
</t>
  </si>
  <si>
    <t>G42_GUOCUN_REALTIME_TOTAL_LOAD_POWER</t>
  </si>
  <si>
    <t>G42_GUOCUN_REALTIME_TOTAL_PV_POWER</t>
  </si>
  <si>
    <t>G42_GUOCUN_REALTIME_TOTAL_WIND_POWER</t>
  </si>
  <si>
    <t>G42_GUOCUN_REALTIME_TOTAL_GREEN_POWER</t>
  </si>
  <si>
    <t>G42_GUOCUN_REALTIME_TOTAL_EV_CHARGING_POWER</t>
  </si>
  <si>
    <t>G42_GUOCUN_REALTIME_EV_CHARGING_LIMIT_POWER</t>
  </si>
  <si>
    <t>G42_GUOCUN_REALTIME_MAIN_TRANSFORMER_CAPACITY</t>
  </si>
  <si>
    <t>630+1250</t>
  </si>
  <si>
    <t>G42_GUOCUN_REALTIME_TIE_LINE_EXCHANGE_POWER</t>
  </si>
  <si>
    <t>G42_GUOCUN_REALTIME_PREDICTED_LOAD_POWER</t>
  </si>
  <si>
    <t>G42_GUOCUN_REALTIME_PREDICTED_GENERATION_POWER</t>
  </si>
  <si>
    <t>G42_GUOCUN_HIST_TOTAL_POWER_CONSUMPTION</t>
  </si>
  <si>
    <t>GUOC_LV_METER:EP1+GUOC_LV_METER:EP2-GUOC_NE_J2:EP +GUOC_TOTAL_CPJ1:EP</t>
  </si>
  <si>
    <t>G42_GUOCUN_HIST_TOTAL_POWER_GENERATION</t>
  </si>
  <si>
    <t>GUOC_PV250_PJ01:EP-   +  GUOC_PV320_PJ02:EP-</t>
  </si>
  <si>
    <t>G42_GUOCUN_HIST_TOTAL_EV_CHARGING_ENERGY</t>
  </si>
  <si>
    <t>G42_GUOCUN_HIST_TOTAL_STORAGE_CHARGING_ENERGY</t>
  </si>
  <si>
    <t>GUOC_ESS_METER:EP</t>
  </si>
  <si>
    <t>G42_GUOCUN_HIST_TOTAL_STORAGE_DISCHARGING_ENERGY</t>
  </si>
  <si>
    <t>G42_GUOCUN_HIST_TOTAL_FLEXIBLE_DC_EXCHANGE_ENERGY</t>
  </si>
  <si>
    <t>G42_GUOCUN_HIST_STORAGE</t>
  </si>
  <si>
    <t>G42_GUOCUN_HIST_CHARGING_PILE_UTILIZATION</t>
  </si>
  <si>
    <t>G42_GUOCUN_HIST_FLEXIBLE_DC_UTILIZATION</t>
  </si>
  <si>
    <t>G42_GUOCUN_HIST_GREEN_POWER_CONSUMPTION_RATE</t>
  </si>
  <si>
    <t>G42_GUOCUN_HIST_GREEN_POWER_SELF_SUFFICIENCY_RATE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</si>
</sst>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70C0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70C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color rgb="FF7030A0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9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1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2" borderId="14" applyNumberFormat="0" applyAlignment="0" applyProtection="0">
      <alignment vertical="center"/>
    </xf>
    <xf numFmtId="0" fontId="23" fillId="13" borderId="15" applyNumberFormat="0" applyAlignment="0" applyProtection="0">
      <alignment vertical="center"/>
    </xf>
    <xf numFmtId="0" fontId="24" fillId="13" borderId="14" applyNumberFormat="0" applyAlignment="0" applyProtection="0">
      <alignment vertical="center"/>
    </xf>
    <xf numFmtId="0" fontId="25" fillId="14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</cellStyleXfs>
  <cellXfs count="17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4" borderId="1" xfId="0" applyFill="1" applyBorder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3" borderId="3" xfId="0" applyFill="1" applyBorder="1" applyAlignment="1">
      <alignment wrapText="1"/>
    </xf>
    <xf numFmtId="0" fontId="0" fillId="3" borderId="5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0" xfId="0" applyAlignment="1">
      <alignment wrapText="1"/>
    </xf>
    <xf numFmtId="0" fontId="0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0" xfId="0" applyFill="1"/>
    <xf numFmtId="0" fontId="4" fillId="3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1" xfId="0" applyFill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wrapText="1"/>
    </xf>
    <xf numFmtId="0" fontId="0" fillId="3" borderId="4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/>
    </xf>
    <xf numFmtId="0" fontId="0" fillId="0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0" fillId="0" borderId="1" xfId="0" applyFill="1" applyBorder="1" applyAlignment="1">
      <alignment vertical="center"/>
    </xf>
    <xf numFmtId="0" fontId="0" fillId="3" borderId="5" xfId="0" applyFon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5" borderId="1" xfId="0" applyFill="1" applyBorder="1" applyAlignment="1">
      <alignment vertical="center"/>
    </xf>
    <xf numFmtId="0" fontId="0" fillId="6" borderId="2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6" borderId="5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6" borderId="2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wrapText="1"/>
    </xf>
    <xf numFmtId="0" fontId="0" fillId="6" borderId="4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0" fillId="0" borderId="4" xfId="0" applyFont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5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/>
    </xf>
    <xf numFmtId="0" fontId="0" fillId="7" borderId="3" xfId="0" applyFill="1" applyBorder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7" borderId="8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13" fillId="9" borderId="9" xfId="0" applyFont="1" applyFill="1" applyBorder="1" applyAlignment="1">
      <alignment horizontal="left" vertical="center"/>
    </xf>
    <xf numFmtId="0" fontId="13" fillId="9" borderId="10" xfId="0" applyFont="1" applyFill="1" applyBorder="1" applyAlignment="1">
      <alignment horizontal="left" vertical="center"/>
    </xf>
    <xf numFmtId="0" fontId="13" fillId="9" borderId="6" xfId="0" applyFont="1" applyFill="1" applyBorder="1" applyAlignment="1">
      <alignment horizontal="left" vertical="center"/>
    </xf>
    <xf numFmtId="0" fontId="0" fillId="10" borderId="6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8"/>
  <sheetViews>
    <sheetView zoomScale="115" zoomScaleNormal="115" topLeftCell="E1" workbookViewId="0">
      <pane ySplit="1" topLeftCell="A4" activePane="bottomLeft" state="frozen"/>
      <selection/>
      <selection pane="bottomLeft" activeCell="G6" sqref="G6"/>
    </sheetView>
  </sheetViews>
  <sheetFormatPr defaultColWidth="9" defaultRowHeight="14"/>
  <cols>
    <col min="1" max="1" width="12.9545454545455" customWidth="1"/>
    <col min="2" max="2" width="15" customWidth="1"/>
    <col min="3" max="3" width="19.1818181818182" customWidth="1"/>
    <col min="4" max="4" width="15.6636363636364" style="1" customWidth="1"/>
    <col min="5" max="5" width="40.7090909090909" style="2" customWidth="1"/>
    <col min="6" max="6" width="25" customWidth="1"/>
    <col min="7" max="7" width="30" customWidth="1"/>
    <col min="8" max="8" width="11.3363636363636" style="1" customWidth="1"/>
    <col min="9" max="9" width="15" customWidth="1"/>
    <col min="10" max="10" width="64" customWidth="1"/>
    <col min="11" max="11" width="11.3" customWidth="1"/>
    <col min="12" max="12" width="35.2545454545455" customWidth="1"/>
    <col min="13" max="13" width="17.0727272727273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98" spans="1:12">
      <c r="A2" s="4" t="s">
        <v>11</v>
      </c>
      <c r="B2" s="42" t="s">
        <v>12</v>
      </c>
      <c r="C2" s="43" t="s">
        <v>13</v>
      </c>
      <c r="D2" s="39" t="s">
        <v>14</v>
      </c>
      <c r="E2" s="77" t="s">
        <v>15</v>
      </c>
      <c r="F2" s="41" t="s">
        <v>16</v>
      </c>
      <c r="G2" s="10" t="s">
        <v>17</v>
      </c>
      <c r="H2" s="11" t="s">
        <v>18</v>
      </c>
      <c r="I2" s="10" t="s">
        <v>19</v>
      </c>
      <c r="J2" s="12" t="s">
        <v>20</v>
      </c>
      <c r="K2" s="13" t="s">
        <v>21</v>
      </c>
      <c r="L2" s="14"/>
    </row>
    <row r="3" ht="28" spans="1:12">
      <c r="A3" s="15"/>
      <c r="B3" s="78"/>
      <c r="C3" s="79"/>
      <c r="D3" s="76"/>
      <c r="E3" s="77" t="s">
        <v>22</v>
      </c>
      <c r="F3" s="41" t="s">
        <v>23</v>
      </c>
      <c r="G3" s="10" t="s">
        <v>24</v>
      </c>
      <c r="H3" s="11" t="s">
        <v>18</v>
      </c>
      <c r="I3" s="10" t="s">
        <v>19</v>
      </c>
      <c r="J3" s="12" t="s">
        <v>25</v>
      </c>
      <c r="K3" s="13" t="s">
        <v>21</v>
      </c>
      <c r="L3" s="14"/>
    </row>
    <row r="4" ht="168" spans="1:12">
      <c r="A4" s="15"/>
      <c r="B4" s="42" t="s">
        <v>26</v>
      </c>
      <c r="C4" s="43" t="s">
        <v>27</v>
      </c>
      <c r="D4" s="39" t="s">
        <v>14</v>
      </c>
      <c r="E4" s="39"/>
      <c r="F4" s="41" t="s">
        <v>28</v>
      </c>
      <c r="G4" s="10" t="s">
        <v>29</v>
      </c>
      <c r="H4" s="11" t="s">
        <v>8</v>
      </c>
      <c r="I4" s="10" t="s">
        <v>8</v>
      </c>
      <c r="J4" s="20" t="s">
        <v>30</v>
      </c>
      <c r="K4" s="13" t="s">
        <v>21</v>
      </c>
      <c r="L4" s="22" t="s">
        <v>31</v>
      </c>
    </row>
    <row r="5" spans="1:12">
      <c r="A5" s="15"/>
      <c r="B5" s="78"/>
      <c r="C5" s="79"/>
      <c r="D5" s="76"/>
      <c r="E5" s="39"/>
      <c r="F5" s="41" t="s">
        <v>32</v>
      </c>
      <c r="G5" s="10" t="s">
        <v>33</v>
      </c>
      <c r="H5" s="11" t="s">
        <v>8</v>
      </c>
      <c r="I5" s="10" t="s">
        <v>8</v>
      </c>
      <c r="J5" s="10" t="s">
        <v>14</v>
      </c>
      <c r="K5" s="80"/>
    </row>
    <row r="6" spans="1:12">
      <c r="A6" s="15"/>
      <c r="B6" s="42" t="s">
        <v>34</v>
      </c>
      <c r="C6" s="81" t="s">
        <v>35</v>
      </c>
      <c r="D6" s="82" t="s">
        <v>36</v>
      </c>
      <c r="E6" s="83" t="s">
        <v>37</v>
      </c>
      <c r="F6" s="41" t="s">
        <v>38</v>
      </c>
      <c r="G6" s="10" t="s">
        <v>39</v>
      </c>
      <c r="H6" s="84" t="s">
        <v>40</v>
      </c>
      <c r="I6" s="10" t="s">
        <v>19</v>
      </c>
      <c r="J6" s="20">
        <v>2812.9</v>
      </c>
      <c r="K6" s="13" t="s">
        <v>21</v>
      </c>
    </row>
    <row r="7" spans="1:12">
      <c r="A7" s="15"/>
      <c r="B7" s="78"/>
      <c r="C7" s="85"/>
      <c r="D7" s="86"/>
      <c r="E7" s="87"/>
      <c r="F7" s="41" t="s">
        <v>41</v>
      </c>
      <c r="G7" s="10" t="s">
        <v>42</v>
      </c>
      <c r="H7" s="11" t="s">
        <v>18</v>
      </c>
      <c r="I7" s="10" t="s">
        <v>19</v>
      </c>
      <c r="J7" s="10" t="s">
        <v>43</v>
      </c>
      <c r="K7" s="80"/>
    </row>
    <row r="8" ht="28" spans="1:12">
      <c r="A8" s="15"/>
      <c r="B8" s="78"/>
      <c r="C8" s="85"/>
      <c r="D8" s="86"/>
      <c r="E8" s="87"/>
      <c r="F8" s="41" t="s">
        <v>44</v>
      </c>
      <c r="G8" s="10" t="s">
        <v>45</v>
      </c>
      <c r="H8" s="11" t="s">
        <v>18</v>
      </c>
      <c r="I8" s="10" t="s">
        <v>19</v>
      </c>
      <c r="J8" s="20" t="s">
        <v>46</v>
      </c>
      <c r="K8" s="13" t="s">
        <v>21</v>
      </c>
      <c r="L8" s="14"/>
    </row>
    <row r="9" spans="1:12">
      <c r="A9" s="15"/>
      <c r="B9" s="78"/>
      <c r="C9" s="85"/>
      <c r="D9" s="86"/>
      <c r="E9" s="87"/>
      <c r="F9" s="41" t="s">
        <v>47</v>
      </c>
      <c r="G9" s="10" t="s">
        <v>48</v>
      </c>
      <c r="H9" s="11" t="s">
        <v>49</v>
      </c>
      <c r="I9" s="10" t="s">
        <v>19</v>
      </c>
      <c r="J9" s="34" t="s">
        <v>50</v>
      </c>
      <c r="K9" s="80"/>
      <c r="L9" s="32"/>
    </row>
    <row r="10" spans="1:12">
      <c r="A10" s="15"/>
      <c r="B10" s="78"/>
      <c r="C10" s="85"/>
      <c r="D10" s="86"/>
      <c r="E10" s="88"/>
      <c r="F10" s="41" t="s">
        <v>51</v>
      </c>
      <c r="G10" s="10" t="s">
        <v>52</v>
      </c>
      <c r="H10" s="11" t="s">
        <v>53</v>
      </c>
      <c r="I10" s="10" t="s">
        <v>19</v>
      </c>
      <c r="J10" s="10" t="s">
        <v>54</v>
      </c>
      <c r="K10" s="80"/>
      <c r="L10" s="32"/>
    </row>
    <row r="11" spans="1:12">
      <c r="A11" s="15"/>
      <c r="B11" s="78"/>
      <c r="C11" s="85"/>
      <c r="D11" s="82" t="s">
        <v>55</v>
      </c>
      <c r="E11" s="83" t="s">
        <v>56</v>
      </c>
      <c r="F11" s="41" t="s">
        <v>38</v>
      </c>
      <c r="G11" s="10" t="s">
        <v>57</v>
      </c>
      <c r="H11" s="11" t="s">
        <v>18</v>
      </c>
      <c r="I11" s="10" t="s">
        <v>19</v>
      </c>
      <c r="J11" s="20">
        <v>5600</v>
      </c>
      <c r="K11" s="13" t="s">
        <v>21</v>
      </c>
      <c r="L11" s="32"/>
    </row>
    <row r="12" spans="1:12">
      <c r="A12" s="15"/>
      <c r="B12" s="78"/>
      <c r="C12" s="85"/>
      <c r="D12" s="86"/>
      <c r="E12" s="87"/>
      <c r="F12" s="41" t="s">
        <v>41</v>
      </c>
      <c r="G12" s="10" t="s">
        <v>58</v>
      </c>
      <c r="H12" s="11" t="s">
        <v>18</v>
      </c>
      <c r="I12" s="10" t="s">
        <v>19</v>
      </c>
      <c r="J12" s="10" t="s">
        <v>14</v>
      </c>
      <c r="K12" s="80"/>
      <c r="L12" s="32"/>
    </row>
    <row r="13" spans="1:12">
      <c r="A13" s="15"/>
      <c r="B13" s="78"/>
      <c r="C13" s="85"/>
      <c r="D13" s="86"/>
      <c r="E13" s="87"/>
      <c r="F13" s="41" t="s">
        <v>44</v>
      </c>
      <c r="G13" s="10" t="s">
        <v>59</v>
      </c>
      <c r="H13" s="11" t="s">
        <v>18</v>
      </c>
      <c r="I13" s="10" t="s">
        <v>19</v>
      </c>
      <c r="J13" s="20" t="s">
        <v>60</v>
      </c>
      <c r="K13" s="13" t="s">
        <v>21</v>
      </c>
      <c r="L13" s="14"/>
    </row>
    <row r="14" spans="1:12">
      <c r="A14" s="15"/>
      <c r="B14" s="78"/>
      <c r="C14" s="85"/>
      <c r="D14" s="86"/>
      <c r="E14" s="87"/>
      <c r="F14" s="41" t="s">
        <v>47</v>
      </c>
      <c r="G14" s="10" t="s">
        <v>61</v>
      </c>
      <c r="H14" s="11" t="s">
        <v>49</v>
      </c>
      <c r="I14" s="10" t="s">
        <v>19</v>
      </c>
      <c r="J14" s="34" t="s">
        <v>50</v>
      </c>
      <c r="K14" s="80"/>
      <c r="L14" s="32"/>
    </row>
    <row r="15" spans="1:12">
      <c r="A15" s="15"/>
      <c r="B15" s="78"/>
      <c r="C15" s="85"/>
      <c r="D15" s="86"/>
      <c r="E15" s="88"/>
      <c r="F15" s="41" t="s">
        <v>51</v>
      </c>
      <c r="G15" s="10" t="s">
        <v>62</v>
      </c>
      <c r="H15" s="11" t="s">
        <v>53</v>
      </c>
      <c r="I15" s="10" t="s">
        <v>19</v>
      </c>
      <c r="J15" s="10" t="s">
        <v>54</v>
      </c>
      <c r="K15" s="80"/>
      <c r="L15" s="32"/>
    </row>
    <row r="16" spans="1:12">
      <c r="A16" s="15"/>
      <c r="B16" s="78"/>
      <c r="C16" s="85"/>
      <c r="D16" s="82" t="s">
        <v>63</v>
      </c>
      <c r="E16" s="83" t="s">
        <v>64</v>
      </c>
      <c r="F16" s="41" t="s">
        <v>38</v>
      </c>
      <c r="G16" s="10" t="s">
        <v>65</v>
      </c>
      <c r="H16" s="11" t="s">
        <v>18</v>
      </c>
      <c r="I16" s="10" t="s">
        <v>19</v>
      </c>
      <c r="J16" s="20">
        <v>0</v>
      </c>
      <c r="K16" s="13" t="s">
        <v>66</v>
      </c>
      <c r="L16" s="32"/>
    </row>
    <row r="17" spans="1:12">
      <c r="A17" s="15"/>
      <c r="B17" s="78"/>
      <c r="C17" s="85"/>
      <c r="D17" s="86"/>
      <c r="E17" s="87"/>
      <c r="F17" s="41" t="s">
        <v>41</v>
      </c>
      <c r="G17" s="10" t="s">
        <v>67</v>
      </c>
      <c r="H17" s="11" t="s">
        <v>18</v>
      </c>
      <c r="I17" s="10" t="s">
        <v>19</v>
      </c>
      <c r="J17" s="10" t="s">
        <v>14</v>
      </c>
      <c r="K17" s="13" t="s">
        <v>66</v>
      </c>
      <c r="L17" s="32"/>
    </row>
    <row r="18" spans="1:12">
      <c r="A18" s="15"/>
      <c r="B18" s="78"/>
      <c r="C18" s="85"/>
      <c r="D18" s="86"/>
      <c r="E18" s="87"/>
      <c r="F18" s="41" t="s">
        <v>68</v>
      </c>
      <c r="G18" s="10" t="s">
        <v>69</v>
      </c>
      <c r="H18" s="11" t="s">
        <v>18</v>
      </c>
      <c r="I18" s="10" t="s">
        <v>19</v>
      </c>
      <c r="J18" s="10" t="s">
        <v>14</v>
      </c>
      <c r="K18" s="13" t="s">
        <v>66</v>
      </c>
      <c r="L18" s="32"/>
    </row>
    <row r="19" spans="1:12">
      <c r="A19" s="15"/>
      <c r="B19" s="78"/>
      <c r="C19" s="85"/>
      <c r="D19" s="86"/>
      <c r="E19" s="87"/>
      <c r="F19" s="41" t="s">
        <v>70</v>
      </c>
      <c r="G19" s="10" t="s">
        <v>71</v>
      </c>
      <c r="H19" s="11" t="s">
        <v>49</v>
      </c>
      <c r="I19" s="10" t="s">
        <v>19</v>
      </c>
      <c r="J19" s="10" t="s">
        <v>14</v>
      </c>
      <c r="K19" s="13" t="s">
        <v>66</v>
      </c>
      <c r="L19" s="32"/>
    </row>
    <row r="20" spans="1:12">
      <c r="A20" s="15"/>
      <c r="B20" s="78"/>
      <c r="C20" s="85"/>
      <c r="D20" s="86"/>
      <c r="E20" s="88"/>
      <c r="F20" s="41" t="s">
        <v>72</v>
      </c>
      <c r="G20" s="10" t="s">
        <v>73</v>
      </c>
      <c r="H20" s="11" t="s">
        <v>49</v>
      </c>
      <c r="I20" s="10" t="s">
        <v>19</v>
      </c>
      <c r="J20" s="10" t="s">
        <v>14</v>
      </c>
      <c r="K20" s="13" t="s">
        <v>66</v>
      </c>
      <c r="L20" s="32"/>
    </row>
    <row r="21" ht="28" spans="1:12">
      <c r="A21" s="15"/>
      <c r="B21" s="78"/>
      <c r="C21" s="85"/>
      <c r="D21" s="82" t="s">
        <v>74</v>
      </c>
      <c r="E21" s="83" t="s">
        <v>75</v>
      </c>
      <c r="F21" s="41" t="s">
        <v>76</v>
      </c>
      <c r="G21" s="10" t="s">
        <v>77</v>
      </c>
      <c r="H21" s="11" t="s">
        <v>78</v>
      </c>
      <c r="I21" s="10" t="s">
        <v>19</v>
      </c>
      <c r="J21" s="20">
        <v>0</v>
      </c>
      <c r="K21" s="13" t="s">
        <v>66</v>
      </c>
      <c r="L21" s="32"/>
    </row>
    <row r="22" ht="28" spans="1:12">
      <c r="A22" s="15"/>
      <c r="B22" s="78"/>
      <c r="C22" s="85"/>
      <c r="D22" s="86"/>
      <c r="E22" s="87"/>
      <c r="F22" s="41" t="s">
        <v>79</v>
      </c>
      <c r="G22" s="10" t="s">
        <v>80</v>
      </c>
      <c r="H22" s="11" t="s">
        <v>78</v>
      </c>
      <c r="I22" s="10" t="s">
        <v>19</v>
      </c>
      <c r="J22" s="10" t="s">
        <v>14</v>
      </c>
      <c r="K22" s="13" t="s">
        <v>66</v>
      </c>
      <c r="L22" s="32"/>
    </row>
    <row r="23" spans="1:12">
      <c r="A23" s="15"/>
      <c r="B23" s="78"/>
      <c r="C23" s="85"/>
      <c r="D23" s="86"/>
      <c r="E23" s="87"/>
      <c r="F23" s="41" t="s">
        <v>81</v>
      </c>
      <c r="G23" s="10" t="s">
        <v>82</v>
      </c>
      <c r="H23" s="11" t="s">
        <v>18</v>
      </c>
      <c r="I23" s="10" t="s">
        <v>19</v>
      </c>
      <c r="J23" s="10" t="s">
        <v>14</v>
      </c>
      <c r="K23" s="13" t="s">
        <v>66</v>
      </c>
      <c r="L23" s="32"/>
    </row>
    <row r="24" spans="1:12">
      <c r="A24" s="15"/>
      <c r="B24" s="78"/>
      <c r="C24" s="85"/>
      <c r="D24" s="86"/>
      <c r="E24" s="87"/>
      <c r="F24" s="41" t="s">
        <v>83</v>
      </c>
      <c r="G24" s="10" t="s">
        <v>84</v>
      </c>
      <c r="H24" s="11" t="s">
        <v>49</v>
      </c>
      <c r="I24" s="10" t="s">
        <v>19</v>
      </c>
      <c r="J24" s="10" t="s">
        <v>14</v>
      </c>
      <c r="K24" s="13" t="s">
        <v>66</v>
      </c>
      <c r="L24" s="32"/>
    </row>
    <row r="25" spans="1:12">
      <c r="A25" s="15"/>
      <c r="B25" s="78"/>
      <c r="C25" s="85"/>
      <c r="D25" s="86"/>
      <c r="E25" s="87"/>
      <c r="F25" s="41" t="s">
        <v>85</v>
      </c>
      <c r="G25" s="10" t="s">
        <v>86</v>
      </c>
      <c r="H25" s="11" t="s">
        <v>49</v>
      </c>
      <c r="I25" s="10" t="s">
        <v>19</v>
      </c>
      <c r="J25" s="10" t="s">
        <v>14</v>
      </c>
      <c r="K25" s="13" t="s">
        <v>66</v>
      </c>
      <c r="L25" s="32"/>
    </row>
    <row r="26" spans="1:12">
      <c r="A26" s="15"/>
      <c r="B26" s="78"/>
      <c r="C26" s="85"/>
      <c r="D26" s="86"/>
      <c r="E26" s="88"/>
      <c r="F26" s="41" t="s">
        <v>87</v>
      </c>
      <c r="G26" s="10" t="s">
        <v>88</v>
      </c>
      <c r="H26" s="11" t="s">
        <v>89</v>
      </c>
      <c r="I26" s="10" t="s">
        <v>19</v>
      </c>
      <c r="J26" s="10" t="s">
        <v>14</v>
      </c>
      <c r="K26" s="13" t="s">
        <v>66</v>
      </c>
      <c r="L26" s="32"/>
    </row>
    <row r="27" ht="28" spans="1:12">
      <c r="A27" s="15"/>
      <c r="B27" s="78"/>
      <c r="C27" s="85"/>
      <c r="D27" s="82" t="s">
        <v>90</v>
      </c>
      <c r="E27" s="83" t="s">
        <v>91</v>
      </c>
      <c r="F27" s="41" t="s">
        <v>92</v>
      </c>
      <c r="G27" s="10" t="s">
        <v>93</v>
      </c>
      <c r="H27" s="11" t="s">
        <v>94</v>
      </c>
      <c r="I27" s="10" t="s">
        <v>19</v>
      </c>
      <c r="J27" s="34" t="s">
        <v>95</v>
      </c>
      <c r="K27" s="80"/>
      <c r="L27" s="32"/>
    </row>
    <row r="28" spans="1:12">
      <c r="A28" s="15"/>
      <c r="B28" s="78"/>
      <c r="C28" s="85"/>
      <c r="D28" s="86"/>
      <c r="E28" s="87"/>
      <c r="F28" s="41" t="s">
        <v>38</v>
      </c>
      <c r="G28" s="10" t="s">
        <v>96</v>
      </c>
      <c r="H28" s="11" t="s">
        <v>18</v>
      </c>
      <c r="I28" s="10" t="s">
        <v>19</v>
      </c>
      <c r="J28" s="20">
        <v>3840</v>
      </c>
      <c r="K28" s="13" t="s">
        <v>21</v>
      </c>
      <c r="L28" s="32"/>
    </row>
    <row r="29" spans="1:12">
      <c r="A29" s="15"/>
      <c r="B29" s="78"/>
      <c r="C29" s="85"/>
      <c r="D29" s="86"/>
      <c r="E29" s="87"/>
      <c r="F29" s="41" t="s">
        <v>97</v>
      </c>
      <c r="G29" s="10" t="s">
        <v>98</v>
      </c>
      <c r="H29" s="11" t="s">
        <v>18</v>
      </c>
      <c r="I29" s="10" t="s">
        <v>19</v>
      </c>
      <c r="J29" s="20">
        <v>3840</v>
      </c>
      <c r="K29" s="13" t="s">
        <v>21</v>
      </c>
      <c r="L29" s="32"/>
    </row>
    <row r="30" spans="1:12">
      <c r="A30" s="15"/>
      <c r="B30" s="78"/>
      <c r="C30" s="85"/>
      <c r="D30" s="86"/>
      <c r="E30" s="87"/>
      <c r="F30" s="41" t="s">
        <v>81</v>
      </c>
      <c r="G30" s="10" t="s">
        <v>99</v>
      </c>
      <c r="H30" s="11" t="s">
        <v>18</v>
      </c>
      <c r="I30" s="10" t="s">
        <v>19</v>
      </c>
      <c r="J30" s="20" t="s">
        <v>100</v>
      </c>
      <c r="K30" s="89" t="s">
        <v>21</v>
      </c>
      <c r="L30" s="14"/>
    </row>
    <row r="31" spans="1:12">
      <c r="A31" s="15"/>
      <c r="B31" s="78"/>
      <c r="C31" s="90"/>
      <c r="D31" s="86"/>
      <c r="E31" s="88"/>
      <c r="F31" s="41" t="s">
        <v>83</v>
      </c>
      <c r="G31" s="10" t="s">
        <v>101</v>
      </c>
      <c r="H31" s="11" t="s">
        <v>49</v>
      </c>
      <c r="I31" s="10" t="s">
        <v>19</v>
      </c>
      <c r="J31" s="34" t="s">
        <v>95</v>
      </c>
      <c r="K31" s="80"/>
      <c r="L31" s="32"/>
    </row>
    <row r="32" spans="1:12">
      <c r="A32" s="15"/>
      <c r="B32" s="91" t="s">
        <v>34</v>
      </c>
      <c r="C32" s="91" t="s">
        <v>102</v>
      </c>
      <c r="D32" s="92" t="s">
        <v>36</v>
      </c>
      <c r="E32" s="91" t="s">
        <v>103</v>
      </c>
      <c r="F32" s="41" t="s">
        <v>38</v>
      </c>
      <c r="G32" s="10" t="s">
        <v>39</v>
      </c>
      <c r="H32" s="11"/>
      <c r="I32" s="10"/>
      <c r="J32" s="20">
        <v>2812.9</v>
      </c>
      <c r="K32" s="80"/>
      <c r="L32" s="32"/>
    </row>
    <row r="33" spans="1:12">
      <c r="A33" s="15"/>
      <c r="B33" s="93"/>
      <c r="C33" s="93"/>
      <c r="D33" s="94"/>
      <c r="E33" s="93"/>
      <c r="F33" s="95" t="s">
        <v>41</v>
      </c>
      <c r="G33" s="63" t="s">
        <v>42</v>
      </c>
      <c r="H33" s="96"/>
      <c r="I33" s="63"/>
      <c r="J33" s="63" t="s">
        <v>43</v>
      </c>
      <c r="K33" s="80"/>
      <c r="L33" s="32"/>
    </row>
    <row r="34" ht="28" spans="1:12">
      <c r="A34" s="15"/>
      <c r="B34" s="93"/>
      <c r="C34" s="93"/>
      <c r="D34" s="94"/>
      <c r="E34" s="93"/>
      <c r="F34" s="41" t="s">
        <v>44</v>
      </c>
      <c r="G34" s="10" t="s">
        <v>45</v>
      </c>
      <c r="H34" s="11"/>
      <c r="I34" s="10"/>
      <c r="J34" s="20" t="s">
        <v>46</v>
      </c>
      <c r="K34" s="80"/>
      <c r="L34" s="32"/>
    </row>
    <row r="35" spans="1:12">
      <c r="A35" s="15"/>
      <c r="B35" s="93"/>
      <c r="C35" s="93"/>
      <c r="D35" s="94"/>
      <c r="E35" s="93"/>
      <c r="F35" s="95" t="s">
        <v>47</v>
      </c>
      <c r="G35" s="63" t="s">
        <v>48</v>
      </c>
      <c r="H35" s="96"/>
      <c r="I35" s="63"/>
      <c r="J35" s="97" t="s">
        <v>50</v>
      </c>
      <c r="K35" s="80"/>
      <c r="L35" s="32"/>
    </row>
    <row r="36" spans="1:12">
      <c r="A36" s="15"/>
      <c r="B36" s="93"/>
      <c r="C36" s="93"/>
      <c r="D36" s="94"/>
      <c r="E36" s="93"/>
      <c r="F36" s="95" t="s">
        <v>51</v>
      </c>
      <c r="G36" s="63" t="s">
        <v>52</v>
      </c>
      <c r="H36" s="96"/>
      <c r="I36" s="63"/>
      <c r="J36" s="63" t="s">
        <v>54</v>
      </c>
      <c r="K36" s="80"/>
      <c r="L36" s="32"/>
    </row>
    <row r="37" spans="1:12">
      <c r="A37" s="15"/>
      <c r="B37" s="93"/>
      <c r="C37" s="93"/>
      <c r="D37" s="94"/>
      <c r="E37" s="93"/>
      <c r="F37" s="98" t="s">
        <v>104</v>
      </c>
      <c r="G37" s="99" t="s">
        <v>105</v>
      </c>
      <c r="H37" s="96"/>
      <c r="I37" s="63"/>
      <c r="J37" s="63"/>
      <c r="K37" s="80"/>
      <c r="L37" s="32"/>
    </row>
    <row r="38" spans="1:12">
      <c r="A38" s="15"/>
      <c r="B38" s="93"/>
      <c r="C38" s="93"/>
      <c r="D38" s="100"/>
      <c r="E38" s="93"/>
      <c r="F38" s="41" t="s">
        <v>106</v>
      </c>
      <c r="G38" s="10" t="s">
        <v>107</v>
      </c>
      <c r="H38" s="11"/>
      <c r="I38" s="10"/>
      <c r="J38" s="20"/>
      <c r="K38" s="80"/>
      <c r="L38" s="32"/>
    </row>
    <row r="39" spans="1:12">
      <c r="A39" s="15"/>
      <c r="B39" s="93"/>
      <c r="C39" s="93"/>
      <c r="D39" s="92" t="s">
        <v>55</v>
      </c>
      <c r="E39" s="91" t="s">
        <v>108</v>
      </c>
      <c r="F39" s="41" t="s">
        <v>38</v>
      </c>
      <c r="G39" s="10" t="s">
        <v>57</v>
      </c>
      <c r="H39" s="11"/>
      <c r="I39" s="10"/>
      <c r="J39" s="20">
        <v>5600</v>
      </c>
      <c r="K39" s="80"/>
      <c r="L39" s="32"/>
    </row>
    <row r="40" spans="1:12">
      <c r="A40" s="15"/>
      <c r="B40" s="93"/>
      <c r="C40" s="93"/>
      <c r="D40" s="94"/>
      <c r="E40" s="93"/>
      <c r="F40" s="41" t="s">
        <v>41</v>
      </c>
      <c r="G40" s="10" t="s">
        <v>58</v>
      </c>
      <c r="H40" s="11"/>
      <c r="I40" s="10"/>
      <c r="J40" s="10" t="s">
        <v>14</v>
      </c>
      <c r="K40" s="80"/>
      <c r="L40" s="32"/>
    </row>
    <row r="41" spans="1:12">
      <c r="A41" s="15"/>
      <c r="B41" s="93"/>
      <c r="C41" s="93"/>
      <c r="D41" s="94"/>
      <c r="E41" s="93"/>
      <c r="F41" s="41" t="s">
        <v>44</v>
      </c>
      <c r="G41" s="10" t="s">
        <v>59</v>
      </c>
      <c r="H41" s="11"/>
      <c r="I41" s="10"/>
      <c r="J41" s="20" t="s">
        <v>60</v>
      </c>
      <c r="K41" s="80"/>
      <c r="L41" s="32"/>
    </row>
    <row r="42" spans="1:12">
      <c r="A42" s="15"/>
      <c r="B42" s="93"/>
      <c r="C42" s="93"/>
      <c r="D42" s="94"/>
      <c r="E42" s="93"/>
      <c r="F42" s="95" t="s">
        <v>47</v>
      </c>
      <c r="G42" s="63" t="s">
        <v>61</v>
      </c>
      <c r="H42" s="96"/>
      <c r="I42" s="63"/>
      <c r="J42" s="97" t="s">
        <v>50</v>
      </c>
      <c r="K42" s="80"/>
      <c r="L42" s="32"/>
    </row>
    <row r="43" spans="1:12">
      <c r="A43" s="15"/>
      <c r="B43" s="93"/>
      <c r="C43" s="93"/>
      <c r="D43" s="94"/>
      <c r="E43" s="93"/>
      <c r="F43" s="95" t="s">
        <v>51</v>
      </c>
      <c r="G43" s="63" t="s">
        <v>62</v>
      </c>
      <c r="H43" s="96"/>
      <c r="I43" s="63"/>
      <c r="J43" s="63" t="s">
        <v>54</v>
      </c>
      <c r="K43" s="80"/>
      <c r="L43" s="32"/>
    </row>
    <row r="44" spans="1:12">
      <c r="A44" s="15"/>
      <c r="B44" s="93"/>
      <c r="C44" s="93"/>
      <c r="D44" s="94"/>
      <c r="E44" s="93"/>
      <c r="F44" s="98" t="s">
        <v>104</v>
      </c>
      <c r="G44" s="99" t="s">
        <v>109</v>
      </c>
      <c r="H44" s="96"/>
      <c r="I44" s="63"/>
      <c r="J44" s="63"/>
      <c r="K44" s="80"/>
      <c r="L44" s="32"/>
    </row>
    <row r="45" spans="1:12">
      <c r="A45" s="15"/>
      <c r="B45" s="93"/>
      <c r="C45" s="93"/>
      <c r="D45" s="100"/>
      <c r="E45" s="93"/>
      <c r="F45" s="41" t="s">
        <v>106</v>
      </c>
      <c r="G45" s="10" t="s">
        <v>110</v>
      </c>
      <c r="H45" s="11"/>
      <c r="I45" s="10"/>
      <c r="J45" s="20"/>
      <c r="K45" s="80"/>
      <c r="L45" s="32"/>
    </row>
    <row r="46" spans="1:12">
      <c r="A46" s="15"/>
      <c r="B46" s="93"/>
      <c r="C46" s="93"/>
      <c r="D46" s="92" t="s">
        <v>63</v>
      </c>
      <c r="E46" s="91" t="s">
        <v>111</v>
      </c>
      <c r="F46" s="41" t="s">
        <v>38</v>
      </c>
      <c r="G46" s="10" t="s">
        <v>65</v>
      </c>
      <c r="H46" s="11"/>
      <c r="I46" s="10"/>
      <c r="J46" s="20"/>
      <c r="K46" s="80"/>
      <c r="L46" s="32"/>
    </row>
    <row r="47" spans="1:12">
      <c r="A47" s="15"/>
      <c r="B47" s="93"/>
      <c r="C47" s="93"/>
      <c r="D47" s="94"/>
      <c r="E47" s="93"/>
      <c r="F47" s="41" t="s">
        <v>41</v>
      </c>
      <c r="G47" s="10" t="s">
        <v>67</v>
      </c>
      <c r="H47" s="11"/>
      <c r="I47" s="10"/>
      <c r="J47" s="34"/>
      <c r="K47" s="80"/>
      <c r="L47" s="32"/>
    </row>
    <row r="48" spans="1:12">
      <c r="A48" s="15"/>
      <c r="B48" s="93"/>
      <c r="C48" s="93"/>
      <c r="D48" s="94"/>
      <c r="E48" s="93"/>
      <c r="F48" s="41" t="s">
        <v>68</v>
      </c>
      <c r="G48" s="10" t="s">
        <v>69</v>
      </c>
      <c r="H48" s="11"/>
      <c r="I48" s="10"/>
      <c r="J48" s="34"/>
      <c r="K48" s="80"/>
      <c r="L48" s="32"/>
    </row>
    <row r="49" spans="1:12">
      <c r="A49" s="15"/>
      <c r="B49" s="93"/>
      <c r="C49" s="93"/>
      <c r="D49" s="94"/>
      <c r="E49" s="93"/>
      <c r="F49" s="41" t="s">
        <v>70</v>
      </c>
      <c r="G49" s="10" t="s">
        <v>71</v>
      </c>
      <c r="H49" s="11"/>
      <c r="I49" s="10"/>
      <c r="J49" s="34"/>
      <c r="K49" s="80"/>
      <c r="L49" s="32"/>
    </row>
    <row r="50" spans="1:12">
      <c r="A50" s="15"/>
      <c r="B50" s="93"/>
      <c r="C50" s="93"/>
      <c r="D50" s="94"/>
      <c r="E50" s="93"/>
      <c r="F50" s="41" t="s">
        <v>72</v>
      </c>
      <c r="G50" s="10" t="s">
        <v>73</v>
      </c>
      <c r="H50" s="11"/>
      <c r="I50" s="10"/>
      <c r="J50" s="34"/>
      <c r="K50" s="80"/>
      <c r="L50" s="32"/>
    </row>
    <row r="51" spans="1:12">
      <c r="A51" s="15"/>
      <c r="B51" s="93"/>
      <c r="C51" s="93"/>
      <c r="D51" s="94"/>
      <c r="E51" s="93"/>
      <c r="F51" s="98" t="s">
        <v>104</v>
      </c>
      <c r="G51" s="99" t="s">
        <v>112</v>
      </c>
      <c r="H51" s="11"/>
      <c r="I51" s="10"/>
      <c r="J51" s="34"/>
      <c r="K51" s="80"/>
      <c r="L51" s="32"/>
    </row>
    <row r="52" spans="1:12">
      <c r="A52" s="15"/>
      <c r="B52" s="93"/>
      <c r="C52" s="93"/>
      <c r="D52" s="100"/>
      <c r="E52" s="101"/>
      <c r="F52" s="41" t="s">
        <v>106</v>
      </c>
      <c r="G52" s="10" t="s">
        <v>113</v>
      </c>
      <c r="H52" s="11"/>
      <c r="I52" s="10"/>
      <c r="J52" s="34"/>
      <c r="K52" s="80"/>
      <c r="L52" s="32"/>
    </row>
    <row r="53" ht="28" spans="1:12">
      <c r="A53" s="15"/>
      <c r="B53" s="93"/>
      <c r="C53" s="93"/>
      <c r="D53" s="102" t="s">
        <v>74</v>
      </c>
      <c r="E53" s="91" t="s">
        <v>114</v>
      </c>
      <c r="F53" s="41" t="s">
        <v>76</v>
      </c>
      <c r="G53" s="10" t="s">
        <v>77</v>
      </c>
      <c r="H53" s="11"/>
      <c r="I53" s="10"/>
      <c r="J53" s="34"/>
      <c r="K53" s="80"/>
      <c r="L53" s="32"/>
    </row>
    <row r="54" ht="28" spans="1:12">
      <c r="A54" s="15"/>
      <c r="B54" s="93"/>
      <c r="C54" s="93"/>
      <c r="D54" s="103"/>
      <c r="E54" s="93"/>
      <c r="F54" s="41" t="s">
        <v>79</v>
      </c>
      <c r="G54" s="10" t="s">
        <v>80</v>
      </c>
      <c r="H54" s="11"/>
      <c r="I54" s="10"/>
      <c r="J54" s="34"/>
      <c r="K54" s="80"/>
      <c r="L54" s="32"/>
    </row>
    <row r="55" spans="1:12">
      <c r="A55" s="15"/>
      <c r="B55" s="93"/>
      <c r="C55" s="93"/>
      <c r="D55" s="103"/>
      <c r="E55" s="93"/>
      <c r="F55" s="41" t="s">
        <v>81</v>
      </c>
      <c r="G55" s="10" t="s">
        <v>82</v>
      </c>
      <c r="H55" s="11"/>
      <c r="I55" s="10"/>
      <c r="J55" s="34"/>
      <c r="K55" s="80"/>
      <c r="L55" s="32"/>
    </row>
    <row r="56" spans="1:12">
      <c r="A56" s="15"/>
      <c r="B56" s="93"/>
      <c r="C56" s="93"/>
      <c r="D56" s="103"/>
      <c r="E56" s="93"/>
      <c r="F56" s="98" t="s">
        <v>104</v>
      </c>
      <c r="G56" s="99" t="s">
        <v>115</v>
      </c>
      <c r="H56" s="11"/>
      <c r="I56" s="10"/>
      <c r="J56" s="34"/>
      <c r="K56" s="80"/>
      <c r="L56" s="32"/>
    </row>
    <row r="57" spans="1:12">
      <c r="A57" s="15"/>
      <c r="B57" s="93"/>
      <c r="C57" s="93"/>
      <c r="D57" s="103"/>
      <c r="E57" s="101"/>
      <c r="F57" s="41" t="s">
        <v>106</v>
      </c>
      <c r="G57" s="10" t="s">
        <v>116</v>
      </c>
      <c r="H57" s="11"/>
      <c r="I57" s="10"/>
      <c r="J57" s="34"/>
      <c r="K57" s="80"/>
      <c r="L57" s="32"/>
    </row>
    <row r="58" spans="1:12">
      <c r="A58" s="15"/>
      <c r="B58" s="93"/>
      <c r="C58" s="93"/>
      <c r="D58" s="103"/>
      <c r="E58" s="93" t="s">
        <v>117</v>
      </c>
      <c r="F58" s="41" t="s">
        <v>83</v>
      </c>
      <c r="G58" s="10" t="s">
        <v>84</v>
      </c>
      <c r="H58" s="11"/>
      <c r="I58" s="10"/>
      <c r="J58" s="34"/>
      <c r="K58" s="80"/>
      <c r="L58" s="32"/>
    </row>
    <row r="59" spans="1:12">
      <c r="A59" s="15"/>
      <c r="B59" s="93"/>
      <c r="C59" s="93"/>
      <c r="D59" s="103"/>
      <c r="E59" s="93"/>
      <c r="F59" s="41" t="s">
        <v>85</v>
      </c>
      <c r="G59" s="10" t="s">
        <v>86</v>
      </c>
      <c r="H59" s="11"/>
      <c r="I59" s="10"/>
      <c r="J59" s="34"/>
      <c r="K59" s="80"/>
      <c r="L59" s="32"/>
    </row>
    <row r="60" spans="1:12">
      <c r="A60" s="15"/>
      <c r="B60" s="93"/>
      <c r="C60" s="93"/>
      <c r="D60" s="103"/>
      <c r="E60" s="101"/>
      <c r="F60" s="41" t="s">
        <v>87</v>
      </c>
      <c r="G60" s="10" t="s">
        <v>88</v>
      </c>
      <c r="H60" s="11"/>
      <c r="I60" s="10"/>
      <c r="J60" s="34"/>
      <c r="K60" s="80"/>
      <c r="L60" s="32"/>
    </row>
    <row r="61" ht="28" spans="1:12">
      <c r="A61" s="15"/>
      <c r="B61" s="93"/>
      <c r="C61" s="93"/>
      <c r="D61" s="102" t="s">
        <v>90</v>
      </c>
      <c r="E61" s="104" t="s">
        <v>118</v>
      </c>
      <c r="F61" s="95" t="s">
        <v>92</v>
      </c>
      <c r="G61" s="63" t="s">
        <v>93</v>
      </c>
      <c r="H61" s="96"/>
      <c r="I61" s="63"/>
      <c r="J61" s="97" t="s">
        <v>95</v>
      </c>
      <c r="K61" s="80"/>
      <c r="L61" s="32"/>
    </row>
    <row r="62" spans="1:12">
      <c r="A62" s="15"/>
      <c r="B62" s="93"/>
      <c r="C62" s="93"/>
      <c r="D62" s="102"/>
      <c r="E62" s="91" t="s">
        <v>119</v>
      </c>
      <c r="F62" s="98" t="s">
        <v>104</v>
      </c>
      <c r="G62" s="99" t="s">
        <v>120</v>
      </c>
      <c r="H62" s="96"/>
      <c r="I62" s="63"/>
      <c r="J62" s="97"/>
      <c r="K62" s="80"/>
      <c r="L62" s="32"/>
    </row>
    <row r="63" spans="1:12">
      <c r="A63" s="15"/>
      <c r="B63" s="93"/>
      <c r="C63" s="93"/>
      <c r="D63" s="102"/>
      <c r="E63" s="93"/>
      <c r="F63" s="41" t="s">
        <v>106</v>
      </c>
      <c r="G63" s="10" t="s">
        <v>121</v>
      </c>
      <c r="H63" s="96"/>
      <c r="I63" s="63"/>
      <c r="J63" s="97"/>
      <c r="K63" s="80"/>
      <c r="L63" s="32"/>
    </row>
    <row r="64" spans="1:12">
      <c r="A64" s="15"/>
      <c r="B64" s="93"/>
      <c r="C64" s="93"/>
      <c r="D64" s="103"/>
      <c r="E64" s="93"/>
      <c r="F64" s="41" t="s">
        <v>38</v>
      </c>
      <c r="G64" s="10" t="s">
        <v>96</v>
      </c>
      <c r="H64" s="11"/>
      <c r="I64" s="10"/>
      <c r="J64" s="20">
        <v>3840</v>
      </c>
      <c r="K64" s="80"/>
      <c r="L64" s="32"/>
    </row>
    <row r="65" spans="1:13">
      <c r="A65" s="15"/>
      <c r="B65" s="93"/>
      <c r="C65" s="93"/>
      <c r="D65" s="103"/>
      <c r="E65" s="93"/>
      <c r="F65" s="41" t="s">
        <v>97</v>
      </c>
      <c r="G65" s="10" t="s">
        <v>98</v>
      </c>
      <c r="H65" s="11"/>
      <c r="I65" s="10"/>
      <c r="J65" s="20">
        <v>3840</v>
      </c>
      <c r="K65" s="80"/>
      <c r="L65" s="32"/>
    </row>
    <row r="66" spans="1:13">
      <c r="A66" s="15"/>
      <c r="B66" s="93"/>
      <c r="C66" s="93"/>
      <c r="D66" s="103"/>
      <c r="E66" s="93"/>
      <c r="F66" s="41" t="s">
        <v>81</v>
      </c>
      <c r="G66" s="10" t="s">
        <v>99</v>
      </c>
      <c r="H66" s="11"/>
      <c r="I66" s="10"/>
      <c r="J66" s="20" t="s">
        <v>100</v>
      </c>
      <c r="K66" s="80"/>
      <c r="L66" s="32"/>
    </row>
    <row r="67" spans="1:13">
      <c r="A67" s="15"/>
      <c r="B67" s="101"/>
      <c r="C67" s="93"/>
      <c r="D67" s="103"/>
      <c r="E67" s="101"/>
      <c r="F67" s="95" t="s">
        <v>83</v>
      </c>
      <c r="G67" s="63" t="s">
        <v>101</v>
      </c>
      <c r="H67" s="96"/>
      <c r="I67" s="63"/>
      <c r="J67" s="97" t="s">
        <v>95</v>
      </c>
      <c r="K67" s="80"/>
      <c r="L67" s="32"/>
    </row>
    <row r="68" spans="1:13">
      <c r="A68" s="15"/>
      <c r="B68" s="37"/>
      <c r="C68" s="38"/>
      <c r="D68" s="39"/>
      <c r="E68" s="40"/>
      <c r="F68" s="41"/>
      <c r="G68" s="10"/>
      <c r="H68" s="11"/>
      <c r="I68" s="10"/>
      <c r="J68" s="20"/>
      <c r="K68" s="89"/>
      <c r="L68" s="32"/>
    </row>
    <row r="69" spans="1:13">
      <c r="A69" s="15"/>
      <c r="B69" s="42"/>
      <c r="C69" s="43"/>
      <c r="D69" s="39"/>
      <c r="E69" s="40"/>
      <c r="F69" s="41"/>
      <c r="G69" s="10"/>
      <c r="H69" s="11"/>
      <c r="I69" s="10"/>
      <c r="J69" s="20"/>
      <c r="K69" s="89"/>
      <c r="L69" s="32"/>
    </row>
    <row r="70" spans="1:13">
      <c r="A70" s="15"/>
      <c r="B70" s="105" t="s">
        <v>122</v>
      </c>
      <c r="C70" s="106" t="s">
        <v>123</v>
      </c>
      <c r="D70" s="107"/>
      <c r="E70" s="108" t="s">
        <v>124</v>
      </c>
      <c r="F70" s="41" t="s">
        <v>125</v>
      </c>
      <c r="G70" s="10" t="s">
        <v>126</v>
      </c>
      <c r="H70" s="11" t="s">
        <v>49</v>
      </c>
      <c r="I70" s="10" t="s">
        <v>19</v>
      </c>
      <c r="J70" s="20" t="s">
        <v>127</v>
      </c>
      <c r="K70" s="89" t="s">
        <v>21</v>
      </c>
      <c r="L70" s="32"/>
    </row>
    <row r="71" spans="1:13">
      <c r="A71" s="15"/>
      <c r="B71" s="109"/>
      <c r="C71" s="110"/>
      <c r="D71" s="111"/>
      <c r="E71" s="112"/>
      <c r="F71" s="41" t="s">
        <v>47</v>
      </c>
      <c r="G71" s="10" t="s">
        <v>128</v>
      </c>
      <c r="H71" s="11" t="s">
        <v>49</v>
      </c>
      <c r="I71" s="10" t="s">
        <v>19</v>
      </c>
      <c r="J71" s="34" t="s">
        <v>50</v>
      </c>
      <c r="K71" s="80"/>
      <c r="L71" s="32"/>
    </row>
    <row r="72" spans="1:13">
      <c r="A72" s="15"/>
      <c r="B72" s="109"/>
      <c r="C72" s="110"/>
      <c r="D72" s="111"/>
      <c r="E72" s="112"/>
      <c r="F72" s="41" t="s">
        <v>129</v>
      </c>
      <c r="G72" s="10" t="s">
        <v>130</v>
      </c>
      <c r="H72" s="11" t="s">
        <v>49</v>
      </c>
      <c r="I72" s="10" t="s">
        <v>19</v>
      </c>
      <c r="J72" s="34" t="s">
        <v>131</v>
      </c>
      <c r="K72" s="80"/>
      <c r="L72" s="32"/>
    </row>
    <row r="73" ht="112" spans="1:13">
      <c r="A73" s="15"/>
      <c r="B73" s="109"/>
      <c r="C73" s="110"/>
      <c r="D73" s="111"/>
      <c r="E73" s="112"/>
      <c r="F73" s="41" t="s">
        <v>132</v>
      </c>
      <c r="G73" s="10" t="s">
        <v>133</v>
      </c>
      <c r="H73" s="11" t="s">
        <v>53</v>
      </c>
      <c r="I73" s="10" t="s">
        <v>19</v>
      </c>
      <c r="J73" s="20" t="s">
        <v>134</v>
      </c>
      <c r="K73" s="89" t="s">
        <v>135</v>
      </c>
      <c r="L73" s="50" t="s">
        <v>136</v>
      </c>
      <c r="M73" s="51" t="s">
        <v>137</v>
      </c>
    </row>
    <row r="74" spans="1:13">
      <c r="A74" s="15"/>
      <c r="B74" s="109"/>
      <c r="C74" s="110"/>
      <c r="D74" s="111"/>
      <c r="E74" s="112"/>
      <c r="F74" s="41" t="s">
        <v>138</v>
      </c>
      <c r="G74" s="10" t="s">
        <v>139</v>
      </c>
      <c r="H74" s="11" t="s">
        <v>53</v>
      </c>
      <c r="I74" s="10" t="s">
        <v>19</v>
      </c>
      <c r="J74" s="20" t="s">
        <v>140</v>
      </c>
      <c r="K74" s="69"/>
      <c r="L74" s="32"/>
    </row>
    <row r="75" spans="1:13">
      <c r="A75" s="15"/>
      <c r="B75" s="109"/>
      <c r="C75" s="110"/>
      <c r="D75" s="111"/>
      <c r="E75" s="112"/>
      <c r="F75" s="41" t="s">
        <v>141</v>
      </c>
      <c r="G75" s="10" t="s">
        <v>142</v>
      </c>
      <c r="H75" s="11" t="s">
        <v>143</v>
      </c>
      <c r="I75" s="10" t="s">
        <v>19</v>
      </c>
      <c r="J75" s="20" t="s">
        <v>144</v>
      </c>
      <c r="K75" s="69"/>
      <c r="L75" s="32"/>
    </row>
    <row r="76" spans="1:13">
      <c r="A76" s="15"/>
      <c r="B76" s="109"/>
      <c r="C76" s="113"/>
      <c r="D76" s="111"/>
      <c r="E76" s="114"/>
      <c r="F76" s="41" t="s">
        <v>145</v>
      </c>
      <c r="G76" s="10" t="s">
        <v>146</v>
      </c>
      <c r="H76" s="11" t="s">
        <v>147</v>
      </c>
      <c r="I76" s="10" t="s">
        <v>19</v>
      </c>
      <c r="J76" s="10">
        <v>0</v>
      </c>
      <c r="K76" s="89" t="s">
        <v>21</v>
      </c>
      <c r="L76" s="32"/>
    </row>
    <row r="77" spans="1:13">
      <c r="A77" s="15"/>
      <c r="B77" s="115" t="s">
        <v>122</v>
      </c>
      <c r="C77" s="116" t="s">
        <v>148</v>
      </c>
      <c r="D77" s="117" t="s">
        <v>149</v>
      </c>
      <c r="E77" s="117" t="s">
        <v>150</v>
      </c>
      <c r="F77" s="41" t="s">
        <v>125</v>
      </c>
      <c r="G77" s="10" t="s">
        <v>126</v>
      </c>
      <c r="H77" s="11" t="s">
        <v>49</v>
      </c>
      <c r="I77" s="10" t="s">
        <v>19</v>
      </c>
      <c r="J77" s="20" t="s">
        <v>127</v>
      </c>
      <c r="K77" s="89" t="s">
        <v>21</v>
      </c>
      <c r="L77" s="32"/>
    </row>
    <row r="78" spans="1:13">
      <c r="A78" s="15"/>
      <c r="B78" s="118"/>
      <c r="C78" s="116"/>
      <c r="D78" s="119"/>
      <c r="E78" s="119"/>
      <c r="F78" s="41" t="s">
        <v>47</v>
      </c>
      <c r="G78" s="10" t="s">
        <v>128</v>
      </c>
      <c r="H78" s="11" t="s">
        <v>49</v>
      </c>
      <c r="I78" s="10" t="s">
        <v>19</v>
      </c>
      <c r="J78" s="34" t="s">
        <v>50</v>
      </c>
      <c r="K78" s="80"/>
      <c r="L78" s="32"/>
    </row>
    <row r="79" spans="1:13">
      <c r="A79" s="15"/>
      <c r="B79" s="118"/>
      <c r="C79" s="116"/>
      <c r="D79" s="119"/>
      <c r="E79" s="119"/>
      <c r="F79" s="41" t="s">
        <v>129</v>
      </c>
      <c r="G79" s="10" t="s">
        <v>130</v>
      </c>
      <c r="H79" s="11" t="s">
        <v>49</v>
      </c>
      <c r="I79" s="10" t="s">
        <v>19</v>
      </c>
      <c r="J79" s="34" t="s">
        <v>131</v>
      </c>
      <c r="K79" s="80"/>
      <c r="L79" s="32"/>
    </row>
    <row r="80" ht="112" spans="1:13">
      <c r="A80" s="15"/>
      <c r="B80" s="118"/>
      <c r="C80" s="116"/>
      <c r="D80" s="119"/>
      <c r="E80" s="119"/>
      <c r="F80" s="41" t="s">
        <v>132</v>
      </c>
      <c r="G80" s="10" t="s">
        <v>133</v>
      </c>
      <c r="H80" s="11" t="s">
        <v>53</v>
      </c>
      <c r="I80" s="10" t="s">
        <v>19</v>
      </c>
      <c r="J80" s="20" t="s">
        <v>134</v>
      </c>
      <c r="K80" s="89" t="s">
        <v>135</v>
      </c>
      <c r="L80" s="50" t="s">
        <v>136</v>
      </c>
      <c r="M80" s="51" t="s">
        <v>137</v>
      </c>
    </row>
    <row r="81" spans="1:12">
      <c r="A81" s="15"/>
      <c r="B81" s="118"/>
      <c r="C81" s="116"/>
      <c r="D81" s="119"/>
      <c r="E81" s="120"/>
      <c r="F81" s="41" t="s">
        <v>138</v>
      </c>
      <c r="G81" s="10" t="s">
        <v>139</v>
      </c>
      <c r="H81" s="11" t="s">
        <v>53</v>
      </c>
      <c r="I81" s="10" t="s">
        <v>19</v>
      </c>
      <c r="J81" s="20" t="s">
        <v>140</v>
      </c>
      <c r="K81" s="69"/>
      <c r="L81" s="32"/>
    </row>
    <row r="82" spans="1:12">
      <c r="A82" s="15"/>
      <c r="B82" s="118"/>
      <c r="C82" s="116"/>
      <c r="D82" s="119"/>
      <c r="E82" s="117" t="s">
        <v>151</v>
      </c>
      <c r="F82" s="41" t="s">
        <v>141</v>
      </c>
      <c r="G82" s="10" t="s">
        <v>142</v>
      </c>
      <c r="H82" s="11" t="s">
        <v>143</v>
      </c>
      <c r="I82" s="10" t="s">
        <v>19</v>
      </c>
      <c r="J82" s="20" t="s">
        <v>144</v>
      </c>
      <c r="K82" s="69"/>
      <c r="L82" s="32"/>
    </row>
    <row r="83" spans="1:12">
      <c r="A83" s="15"/>
      <c r="B83" s="121"/>
      <c r="C83" s="122"/>
      <c r="D83" s="120"/>
      <c r="E83" s="120"/>
      <c r="F83" s="41" t="s">
        <v>145</v>
      </c>
      <c r="G83" s="10" t="s">
        <v>146</v>
      </c>
      <c r="H83" s="11" t="s">
        <v>147</v>
      </c>
      <c r="I83" s="10" t="s">
        <v>19</v>
      </c>
      <c r="J83" s="10">
        <v>0</v>
      </c>
      <c r="K83" s="89" t="s">
        <v>21</v>
      </c>
      <c r="L83" s="32"/>
    </row>
    <row r="84" spans="1:12">
      <c r="A84" s="15"/>
      <c r="B84" s="78"/>
      <c r="C84" s="11"/>
      <c r="D84" s="76"/>
      <c r="E84" s="39"/>
      <c r="F84" s="41"/>
      <c r="G84" s="10"/>
      <c r="H84" s="11"/>
      <c r="I84" s="10"/>
      <c r="J84" s="10"/>
      <c r="K84" s="89"/>
      <c r="L84" s="32"/>
    </row>
    <row r="85" ht="28" spans="1:12">
      <c r="A85" s="15"/>
      <c r="B85" s="123" t="s">
        <v>152</v>
      </c>
      <c r="C85" s="124" t="s">
        <v>35</v>
      </c>
      <c r="D85" s="125" t="s">
        <v>153</v>
      </c>
      <c r="E85" s="126" t="s">
        <v>154</v>
      </c>
      <c r="F85" s="41" t="s">
        <v>155</v>
      </c>
      <c r="G85" s="10" t="s">
        <v>156</v>
      </c>
      <c r="H85" s="11" t="s">
        <v>89</v>
      </c>
      <c r="I85" s="10" t="s">
        <v>19</v>
      </c>
      <c r="J85" s="20" t="s">
        <v>157</v>
      </c>
      <c r="K85" s="69"/>
      <c r="L85" s="32"/>
    </row>
    <row r="86" ht="28" spans="1:12">
      <c r="A86" s="15"/>
      <c r="B86" s="127"/>
      <c r="C86" s="128"/>
      <c r="D86" s="129"/>
      <c r="E86" s="130"/>
      <c r="F86" s="41" t="s">
        <v>158</v>
      </c>
      <c r="G86" s="10" t="s">
        <v>159</v>
      </c>
      <c r="H86" s="11" t="s">
        <v>89</v>
      </c>
      <c r="I86" s="10" t="s">
        <v>19</v>
      </c>
      <c r="J86" s="20" t="s">
        <v>160</v>
      </c>
      <c r="K86" s="69"/>
      <c r="L86" s="32"/>
    </row>
    <row r="87" spans="1:12">
      <c r="A87" s="15"/>
      <c r="B87" s="127"/>
      <c r="C87" s="128"/>
      <c r="D87" s="129"/>
      <c r="E87" s="130"/>
      <c r="F87" s="41" t="s">
        <v>161</v>
      </c>
      <c r="G87" s="10" t="s">
        <v>162</v>
      </c>
      <c r="H87" s="11" t="s">
        <v>89</v>
      </c>
      <c r="I87" s="10" t="s">
        <v>19</v>
      </c>
      <c r="J87" s="10">
        <v>0</v>
      </c>
      <c r="K87" s="89" t="s">
        <v>21</v>
      </c>
      <c r="L87" s="32"/>
    </row>
    <row r="88" ht="28" spans="1:12">
      <c r="A88" s="15"/>
      <c r="B88" s="127"/>
      <c r="C88" s="131"/>
      <c r="D88" s="129"/>
      <c r="E88" s="132"/>
      <c r="F88" s="41" t="s">
        <v>163</v>
      </c>
      <c r="G88" s="10" t="s">
        <v>164</v>
      </c>
      <c r="H88" s="11" t="s">
        <v>89</v>
      </c>
      <c r="I88" s="10" t="s">
        <v>19</v>
      </c>
      <c r="J88" s="63" t="s">
        <v>165</v>
      </c>
      <c r="K88" s="80"/>
      <c r="L88" s="32"/>
    </row>
    <row r="89" ht="28" spans="1:12">
      <c r="A89" s="15"/>
      <c r="B89" s="115" t="s">
        <v>152</v>
      </c>
      <c r="C89" s="133" t="s">
        <v>148</v>
      </c>
      <c r="D89" s="117" t="s">
        <v>149</v>
      </c>
      <c r="E89" s="117" t="s">
        <v>166</v>
      </c>
      <c r="F89" s="41" t="s">
        <v>155</v>
      </c>
      <c r="G89" s="10" t="s">
        <v>156</v>
      </c>
      <c r="H89" s="11" t="s">
        <v>89</v>
      </c>
      <c r="I89" s="10" t="s">
        <v>19</v>
      </c>
      <c r="J89" s="20" t="s">
        <v>157</v>
      </c>
      <c r="K89" s="80"/>
      <c r="L89" s="32"/>
    </row>
    <row r="90" ht="28" spans="1:12">
      <c r="A90" s="15"/>
      <c r="B90" s="118"/>
      <c r="C90" s="116"/>
      <c r="D90" s="119"/>
      <c r="E90" s="119"/>
      <c r="F90" s="41" t="s">
        <v>158</v>
      </c>
      <c r="G90" s="10" t="s">
        <v>159</v>
      </c>
      <c r="H90" s="11" t="s">
        <v>89</v>
      </c>
      <c r="I90" s="10" t="s">
        <v>19</v>
      </c>
      <c r="J90" s="20" t="s">
        <v>160</v>
      </c>
      <c r="K90" s="80"/>
      <c r="L90" s="32"/>
    </row>
    <row r="91" spans="1:12">
      <c r="A91" s="15"/>
      <c r="B91" s="118"/>
      <c r="C91" s="116"/>
      <c r="D91" s="119"/>
      <c r="E91" s="119"/>
      <c r="F91" s="41" t="s">
        <v>161</v>
      </c>
      <c r="G91" s="10" t="s">
        <v>162</v>
      </c>
      <c r="H91" s="11" t="s">
        <v>89</v>
      </c>
      <c r="I91" s="10" t="s">
        <v>19</v>
      </c>
      <c r="J91" s="10">
        <v>0</v>
      </c>
      <c r="K91" s="89" t="s">
        <v>21</v>
      </c>
      <c r="L91" s="32"/>
    </row>
    <row r="92" ht="28" spans="1:12">
      <c r="A92" s="15"/>
      <c r="B92" s="121"/>
      <c r="C92" s="122"/>
      <c r="D92" s="120"/>
      <c r="E92" s="120"/>
      <c r="F92" s="41" t="s">
        <v>163</v>
      </c>
      <c r="G92" s="10" t="s">
        <v>164</v>
      </c>
      <c r="H92" s="11" t="s">
        <v>89</v>
      </c>
      <c r="I92" s="10" t="s">
        <v>19</v>
      </c>
      <c r="J92" s="63" t="s">
        <v>165</v>
      </c>
      <c r="K92" s="80"/>
      <c r="L92" s="32"/>
    </row>
    <row r="93" spans="1:12">
      <c r="A93" s="15"/>
      <c r="B93" s="78"/>
      <c r="C93" s="11"/>
      <c r="D93" s="76"/>
      <c r="E93" s="39"/>
      <c r="F93" s="41"/>
      <c r="G93" s="10"/>
      <c r="H93" s="11"/>
      <c r="I93" s="10"/>
      <c r="J93" s="63"/>
      <c r="K93" s="80"/>
      <c r="L93" s="32"/>
    </row>
    <row r="94" spans="1:12">
      <c r="A94" s="15"/>
      <c r="B94" s="123" t="s">
        <v>167</v>
      </c>
      <c r="C94" s="134" t="s">
        <v>168</v>
      </c>
      <c r="D94" s="125" t="s">
        <v>14</v>
      </c>
      <c r="E94" s="125"/>
      <c r="F94" s="41" t="s">
        <v>169</v>
      </c>
      <c r="G94" s="10" t="s">
        <v>170</v>
      </c>
      <c r="H94" s="11" t="s">
        <v>49</v>
      </c>
      <c r="I94" s="10" t="s">
        <v>19</v>
      </c>
      <c r="J94" s="63" t="s">
        <v>171</v>
      </c>
      <c r="K94" s="80"/>
      <c r="L94" s="32"/>
    </row>
    <row r="95" spans="1:12">
      <c r="A95" s="15"/>
      <c r="B95" s="127"/>
      <c r="C95" s="135"/>
      <c r="D95" s="129"/>
      <c r="E95" s="125"/>
      <c r="F95" s="41" t="s">
        <v>172</v>
      </c>
      <c r="G95" s="10" t="s">
        <v>173</v>
      </c>
      <c r="H95" s="11" t="s">
        <v>174</v>
      </c>
      <c r="I95" s="10" t="s">
        <v>19</v>
      </c>
      <c r="J95" s="63" t="s">
        <v>171</v>
      </c>
      <c r="K95" s="80"/>
      <c r="L95" s="32"/>
    </row>
    <row r="96" ht="28" spans="1:12">
      <c r="A96" s="15"/>
      <c r="B96" s="127"/>
      <c r="C96" s="136"/>
      <c r="D96" s="129"/>
      <c r="E96" s="125"/>
      <c r="F96" s="41" t="s">
        <v>175</v>
      </c>
      <c r="G96" s="10" t="s">
        <v>176</v>
      </c>
      <c r="H96" s="11" t="s">
        <v>177</v>
      </c>
      <c r="I96" s="10" t="s">
        <v>19</v>
      </c>
      <c r="J96" s="63" t="s">
        <v>171</v>
      </c>
      <c r="K96" s="80"/>
      <c r="L96" s="32"/>
    </row>
    <row r="97" spans="1:12">
      <c r="A97" s="15"/>
      <c r="B97" s="123" t="s">
        <v>178</v>
      </c>
      <c r="C97" s="134" t="s">
        <v>179</v>
      </c>
      <c r="D97" s="125" t="s">
        <v>14</v>
      </c>
      <c r="E97" s="125"/>
      <c r="F97" s="41" t="s">
        <v>180</v>
      </c>
      <c r="G97" s="10" t="s">
        <v>181</v>
      </c>
      <c r="H97" s="11" t="s">
        <v>49</v>
      </c>
      <c r="I97" s="10" t="s">
        <v>19</v>
      </c>
      <c r="J97" s="63" t="s">
        <v>171</v>
      </c>
      <c r="K97" s="80"/>
      <c r="L97" s="32"/>
    </row>
    <row r="98" spans="1:12">
      <c r="A98" s="15"/>
      <c r="B98" s="127"/>
      <c r="C98" s="135"/>
      <c r="D98" s="129"/>
      <c r="E98" s="125"/>
      <c r="F98" s="41" t="s">
        <v>172</v>
      </c>
      <c r="G98" s="10" t="s">
        <v>173</v>
      </c>
      <c r="H98" s="11" t="s">
        <v>174</v>
      </c>
      <c r="I98" s="10" t="s">
        <v>19</v>
      </c>
      <c r="J98" s="63" t="s">
        <v>171</v>
      </c>
      <c r="K98" s="80"/>
      <c r="L98" s="32"/>
    </row>
    <row r="99" ht="28" spans="1:12">
      <c r="A99" s="15"/>
      <c r="B99" s="127"/>
      <c r="C99" s="136"/>
      <c r="D99" s="129"/>
      <c r="E99" s="125"/>
      <c r="F99" s="41" t="s">
        <v>175</v>
      </c>
      <c r="G99" s="10" t="s">
        <v>176</v>
      </c>
      <c r="H99" s="11" t="s">
        <v>177</v>
      </c>
      <c r="I99" s="10" t="s">
        <v>8</v>
      </c>
      <c r="J99" s="63" t="s">
        <v>171</v>
      </c>
      <c r="K99" s="80"/>
      <c r="L99" s="32"/>
    </row>
    <row r="100" ht="98" spans="1:12">
      <c r="A100" s="15"/>
      <c r="B100" s="137" t="s">
        <v>182</v>
      </c>
      <c r="C100" s="91" t="s">
        <v>148</v>
      </c>
      <c r="D100" s="138" t="s">
        <v>183</v>
      </c>
      <c r="E100" s="91" t="s">
        <v>184</v>
      </c>
      <c r="F100" s="41" t="s">
        <v>183</v>
      </c>
      <c r="G100" s="10" t="s">
        <v>185</v>
      </c>
      <c r="H100" s="11" t="s">
        <v>18</v>
      </c>
      <c r="I100" s="10" t="s">
        <v>19</v>
      </c>
      <c r="J100" s="10" t="str">
        <f>J2</f>
        <v>SSP1_GP4,5,6,7,9_IED1:P + 
SSP1_GP11~16_IED1:P + 
PDR4_LP1_IED1:P + 
PDR4_LP9_IED1:P + 
abs[PDR1_PGC1_METER1:P + PDR1_PGC2_METER1:P + PDR1_PGC3_METER1:P], 
abs[]为绝对值运算</v>
      </c>
      <c r="K100" s="13" t="s">
        <v>186</v>
      </c>
      <c r="L100" s="14"/>
    </row>
    <row r="101" ht="28" spans="1:12">
      <c r="A101" s="15"/>
      <c r="B101" s="139"/>
      <c r="C101" s="93"/>
      <c r="D101" s="138" t="s">
        <v>187</v>
      </c>
      <c r="E101" s="93"/>
      <c r="F101" s="41" t="s">
        <v>187</v>
      </c>
      <c r="G101" s="10" t="s">
        <v>188</v>
      </c>
      <c r="H101" s="11" t="s">
        <v>18</v>
      </c>
      <c r="I101" s="10" t="s">
        <v>19</v>
      </c>
      <c r="J101" s="10" t="str">
        <f>J8</f>
        <v>abs[PDR1_PGC1_METER1:P + PDR1_PGC2_METER1:P + PDR1_PGC3_METER1:P + PDR4_PGC1_METER1:P]</v>
      </c>
      <c r="K101" s="13" t="s">
        <v>186</v>
      </c>
      <c r="L101" s="32"/>
    </row>
    <row r="102" spans="1:12">
      <c r="A102" s="15"/>
      <c r="B102" s="139"/>
      <c r="C102" s="93"/>
      <c r="D102" s="138" t="s">
        <v>189</v>
      </c>
      <c r="E102" s="93"/>
      <c r="F102" s="41" t="s">
        <v>189</v>
      </c>
      <c r="G102" s="10" t="s">
        <v>190</v>
      </c>
      <c r="H102" s="11" t="s">
        <v>18</v>
      </c>
      <c r="I102" s="10" t="s">
        <v>19</v>
      </c>
      <c r="J102" s="10" t="str">
        <f>J13</f>
        <v>abs[SSP1_GP16_IED1:P]</v>
      </c>
      <c r="K102" s="13" t="s">
        <v>186</v>
      </c>
    </row>
    <row r="103" ht="28" spans="1:12">
      <c r="A103" s="15"/>
      <c r="B103" s="139"/>
      <c r="C103" s="93"/>
      <c r="D103" s="138" t="s">
        <v>191</v>
      </c>
      <c r="E103" s="93"/>
      <c r="F103" s="41" t="s">
        <v>191</v>
      </c>
      <c r="G103" s="10" t="s">
        <v>192</v>
      </c>
      <c r="H103" s="11" t="s">
        <v>18</v>
      </c>
      <c r="I103" s="10" t="s">
        <v>19</v>
      </c>
      <c r="J103" s="10" t="str">
        <f>J3</f>
        <v>abs[PDR1_PGC1_METER1:P + PDR1_PGC2_METER1:P + PDR1_PGC3_METER1:P + PDR4_PGC1_METER1:P + SSP1_GP8_IED1:P]</v>
      </c>
      <c r="K103" s="13" t="s">
        <v>186</v>
      </c>
    </row>
    <row r="104" spans="1:12">
      <c r="A104" s="15"/>
      <c r="B104" s="139"/>
      <c r="C104" s="93"/>
      <c r="D104" s="138" t="s">
        <v>193</v>
      </c>
      <c r="E104" s="93"/>
      <c r="F104" s="41" t="s">
        <v>194</v>
      </c>
      <c r="G104" s="10" t="s">
        <v>195</v>
      </c>
      <c r="H104" s="11" t="s">
        <v>18</v>
      </c>
      <c r="I104" s="10" t="s">
        <v>19</v>
      </c>
      <c r="J104" s="10" t="str">
        <f>J30</f>
        <v>PDR1_DP1_METER1:P + SSP2_GP4_IED1:P </v>
      </c>
      <c r="K104" s="13"/>
    </row>
    <row r="105" spans="1:12">
      <c r="A105" s="15"/>
      <c r="B105" s="139"/>
      <c r="C105" s="93"/>
      <c r="D105" s="138" t="s">
        <v>196</v>
      </c>
      <c r="E105" s="93"/>
      <c r="F105" s="41" t="s">
        <v>197</v>
      </c>
      <c r="G105" s="10" t="s">
        <v>198</v>
      </c>
      <c r="H105" s="11" t="s">
        <v>18</v>
      </c>
      <c r="I105" s="10" t="s">
        <v>19</v>
      </c>
      <c r="J105" s="10">
        <f>J29</f>
        <v>3840</v>
      </c>
      <c r="K105" s="13"/>
    </row>
    <row r="106" spans="1:12">
      <c r="A106" s="15"/>
      <c r="B106" s="139"/>
      <c r="C106" s="93"/>
      <c r="D106" s="138" t="s">
        <v>199</v>
      </c>
      <c r="E106" s="93"/>
      <c r="F106" s="41" t="s">
        <v>199</v>
      </c>
      <c r="G106" s="10" t="s">
        <v>200</v>
      </c>
      <c r="H106" s="140" t="s">
        <v>201</v>
      </c>
      <c r="I106" s="10" t="s">
        <v>19</v>
      </c>
      <c r="J106" s="20" t="s">
        <v>202</v>
      </c>
      <c r="K106" s="13"/>
    </row>
    <row r="107" ht="28" spans="1:12">
      <c r="A107" s="15"/>
      <c r="B107" s="139"/>
      <c r="C107" s="93"/>
      <c r="D107" s="141" t="s">
        <v>203</v>
      </c>
      <c r="E107" s="93"/>
      <c r="F107" s="10" t="s">
        <v>203</v>
      </c>
      <c r="G107" s="10" t="s">
        <v>204</v>
      </c>
      <c r="H107" s="11" t="s">
        <v>18</v>
      </c>
      <c r="I107" s="10" t="s">
        <v>19</v>
      </c>
      <c r="J107" s="10" t="s">
        <v>205</v>
      </c>
      <c r="K107" s="80" t="s">
        <v>206</v>
      </c>
    </row>
    <row r="108" spans="1:12">
      <c r="A108" s="15"/>
      <c r="B108" s="139"/>
      <c r="C108" s="93"/>
      <c r="D108" s="138" t="s">
        <v>207</v>
      </c>
      <c r="E108" s="93"/>
      <c r="F108" s="41" t="s">
        <v>207</v>
      </c>
      <c r="G108" s="10" t="s">
        <v>208</v>
      </c>
      <c r="H108" s="11" t="s">
        <v>18</v>
      </c>
      <c r="I108" s="10" t="s">
        <v>19</v>
      </c>
      <c r="J108" s="10" t="s">
        <v>14</v>
      </c>
      <c r="K108" s="80"/>
    </row>
    <row r="109" spans="1:12">
      <c r="A109" s="15"/>
      <c r="B109" s="139"/>
      <c r="C109" s="101"/>
      <c r="D109" s="138" t="s">
        <v>209</v>
      </c>
      <c r="E109" s="101"/>
      <c r="F109" s="41" t="s">
        <v>209</v>
      </c>
      <c r="G109" s="10" t="s">
        <v>210</v>
      </c>
      <c r="H109" s="11" t="s">
        <v>18</v>
      </c>
      <c r="I109" s="10" t="s">
        <v>19</v>
      </c>
      <c r="J109" s="10" t="s">
        <v>14</v>
      </c>
      <c r="K109" s="80"/>
    </row>
    <row r="110" ht="98" spans="1:12">
      <c r="A110" s="15"/>
      <c r="B110" s="42" t="s">
        <v>182</v>
      </c>
      <c r="C110" s="81" t="s">
        <v>211</v>
      </c>
      <c r="D110" s="43" t="s">
        <v>212</v>
      </c>
      <c r="E110" s="10" t="s">
        <v>213</v>
      </c>
      <c r="F110" s="41" t="s">
        <v>183</v>
      </c>
      <c r="G110" s="10" t="s">
        <v>185</v>
      </c>
      <c r="H110" s="11" t="s">
        <v>18</v>
      </c>
      <c r="I110" s="10" t="s">
        <v>19</v>
      </c>
      <c r="J110" s="10" t="s">
        <v>20</v>
      </c>
      <c r="K110" s="13" t="s">
        <v>186</v>
      </c>
    </row>
    <row r="111" ht="28" spans="1:12">
      <c r="A111" s="15"/>
      <c r="B111" s="78"/>
      <c r="C111" s="85"/>
      <c r="D111" s="38"/>
      <c r="E111" s="10" t="s">
        <v>214</v>
      </c>
      <c r="F111" s="41" t="s">
        <v>187</v>
      </c>
      <c r="G111" s="10" t="s">
        <v>188</v>
      </c>
      <c r="H111" s="11" t="s">
        <v>18</v>
      </c>
      <c r="I111" s="10" t="s">
        <v>19</v>
      </c>
      <c r="J111" s="10" t="str">
        <f>J8</f>
        <v>abs[PDR1_PGC1_METER1:P + PDR1_PGC2_METER1:P + PDR1_PGC3_METER1:P + PDR4_PGC1_METER1:P]</v>
      </c>
      <c r="K111" s="13" t="s">
        <v>186</v>
      </c>
    </row>
    <row r="112" spans="1:12">
      <c r="A112" s="15"/>
      <c r="B112" s="78"/>
      <c r="C112" s="85"/>
      <c r="D112" s="38"/>
      <c r="E112" s="10" t="s">
        <v>215</v>
      </c>
      <c r="F112" s="41" t="s">
        <v>189</v>
      </c>
      <c r="G112" s="10" t="s">
        <v>190</v>
      </c>
      <c r="H112" s="11" t="s">
        <v>18</v>
      </c>
      <c r="I112" s="10" t="s">
        <v>19</v>
      </c>
      <c r="J112" s="10" t="str">
        <f>J13</f>
        <v>abs[SSP1_GP16_IED1:P]</v>
      </c>
      <c r="K112" s="13" t="s">
        <v>186</v>
      </c>
    </row>
    <row r="113" ht="28" spans="1:12">
      <c r="A113" s="15"/>
      <c r="B113" s="78"/>
      <c r="C113" s="85"/>
      <c r="D113" s="38"/>
      <c r="E113" s="10" t="s">
        <v>216</v>
      </c>
      <c r="F113" s="41" t="s">
        <v>191</v>
      </c>
      <c r="G113" s="10" t="s">
        <v>192</v>
      </c>
      <c r="H113" s="11" t="s">
        <v>18</v>
      </c>
      <c r="I113" s="10" t="s">
        <v>19</v>
      </c>
      <c r="J113" s="10" t="str">
        <f>J3</f>
        <v>abs[PDR1_PGC1_METER1:P + PDR1_PGC2_METER1:P + PDR1_PGC3_METER1:P + PDR4_PGC1_METER1:P + SSP1_GP8_IED1:P]</v>
      </c>
      <c r="K113" s="13" t="s">
        <v>186</v>
      </c>
    </row>
    <row r="114" spans="1:12">
      <c r="A114" s="15"/>
      <c r="B114" s="78"/>
      <c r="C114" s="85"/>
      <c r="D114" s="79"/>
      <c r="E114" s="10" t="s">
        <v>217</v>
      </c>
      <c r="F114" s="41" t="s">
        <v>194</v>
      </c>
      <c r="G114" s="10" t="s">
        <v>195</v>
      </c>
      <c r="H114" s="11" t="s">
        <v>18</v>
      </c>
      <c r="I114" s="10" t="s">
        <v>19</v>
      </c>
      <c r="J114" s="10" t="str">
        <f>J30</f>
        <v>PDR1_DP1_METER1:P + SSP2_GP4_IED1:P </v>
      </c>
      <c r="K114" s="13"/>
    </row>
    <row r="115" spans="1:12">
      <c r="A115" s="15"/>
      <c r="B115" s="78"/>
      <c r="C115" s="85"/>
      <c r="D115" s="43" t="s">
        <v>218</v>
      </c>
      <c r="E115" s="10" t="s">
        <v>219</v>
      </c>
      <c r="F115" s="41" t="s">
        <v>197</v>
      </c>
      <c r="G115" s="10" t="s">
        <v>198</v>
      </c>
      <c r="H115" s="11" t="s">
        <v>18</v>
      </c>
      <c r="I115" s="10" t="s">
        <v>19</v>
      </c>
      <c r="J115" s="10">
        <v>3840</v>
      </c>
      <c r="K115" s="13"/>
    </row>
    <row r="116" spans="1:12">
      <c r="A116" s="15"/>
      <c r="B116" s="78"/>
      <c r="C116" s="85"/>
      <c r="D116" s="38"/>
      <c r="E116" s="10" t="s">
        <v>220</v>
      </c>
      <c r="F116" s="41" t="s">
        <v>199</v>
      </c>
      <c r="G116" s="10" t="s">
        <v>200</v>
      </c>
      <c r="H116" s="140" t="s">
        <v>201</v>
      </c>
      <c r="I116" s="10" t="s">
        <v>19</v>
      </c>
      <c r="J116" s="20" t="s">
        <v>202</v>
      </c>
      <c r="K116" s="13"/>
    </row>
    <row r="117" ht="28" spans="1:12">
      <c r="A117" s="15"/>
      <c r="B117" s="78"/>
      <c r="C117" s="85"/>
      <c r="D117" s="38"/>
      <c r="E117" s="10" t="s">
        <v>221</v>
      </c>
      <c r="F117" s="10" t="s">
        <v>203</v>
      </c>
      <c r="G117" s="10" t="s">
        <v>204</v>
      </c>
      <c r="H117" s="11" t="s">
        <v>18</v>
      </c>
      <c r="I117" s="10" t="s">
        <v>19</v>
      </c>
      <c r="J117" s="10" t="s">
        <v>205</v>
      </c>
      <c r="K117" s="80" t="s">
        <v>206</v>
      </c>
    </row>
    <row r="118" spans="1:12">
      <c r="A118" s="15"/>
      <c r="B118" s="78"/>
      <c r="C118" s="85"/>
      <c r="D118" s="38"/>
      <c r="E118" s="10" t="s">
        <v>222</v>
      </c>
      <c r="F118" s="41" t="s">
        <v>207</v>
      </c>
      <c r="G118" s="10" t="s">
        <v>208</v>
      </c>
      <c r="H118" s="11" t="s">
        <v>18</v>
      </c>
      <c r="I118" s="10" t="s">
        <v>19</v>
      </c>
      <c r="J118" s="10" t="s">
        <v>14</v>
      </c>
      <c r="K118" s="80"/>
    </row>
    <row r="119" spans="1:12">
      <c r="A119" s="15"/>
      <c r="B119" s="78"/>
      <c r="C119" s="90"/>
      <c r="D119" s="79"/>
      <c r="E119" s="10" t="s">
        <v>223</v>
      </c>
      <c r="F119" s="41" t="s">
        <v>209</v>
      </c>
      <c r="G119" s="10" t="s">
        <v>210</v>
      </c>
      <c r="H119" s="11" t="s">
        <v>18</v>
      </c>
      <c r="I119" s="10" t="s">
        <v>19</v>
      </c>
      <c r="J119" s="10" t="s">
        <v>14</v>
      </c>
      <c r="K119" s="80"/>
    </row>
    <row r="120" spans="1:12">
      <c r="A120" s="15"/>
      <c r="B120" s="142"/>
      <c r="C120" s="11"/>
      <c r="D120" s="39"/>
      <c r="E120" s="11"/>
      <c r="F120" s="41"/>
      <c r="G120" s="10"/>
      <c r="H120" s="11"/>
      <c r="I120" s="10"/>
      <c r="J120" s="10"/>
      <c r="K120" s="80"/>
    </row>
    <row r="121" ht="28" spans="1:12">
      <c r="A121" s="15"/>
      <c r="B121" s="143" t="s">
        <v>224</v>
      </c>
      <c r="C121" s="81" t="s">
        <v>123</v>
      </c>
      <c r="D121" s="43" t="s">
        <v>225</v>
      </c>
      <c r="E121" s="10" t="s">
        <v>226</v>
      </c>
      <c r="F121" s="41" t="s">
        <v>227</v>
      </c>
      <c r="G121" s="10" t="s">
        <v>228</v>
      </c>
      <c r="H121" s="11" t="s">
        <v>229</v>
      </c>
      <c r="I121" s="10" t="s">
        <v>19</v>
      </c>
      <c r="J121" s="10" t="s">
        <v>230</v>
      </c>
      <c r="K121" s="13" t="s">
        <v>21</v>
      </c>
      <c r="L121" s="22" t="s">
        <v>231</v>
      </c>
    </row>
    <row r="122" spans="1:12">
      <c r="A122" s="15"/>
      <c r="B122" s="72"/>
      <c r="C122" s="85"/>
      <c r="D122" s="38"/>
      <c r="E122" s="10" t="s">
        <v>232</v>
      </c>
      <c r="F122" s="41" t="s">
        <v>233</v>
      </c>
      <c r="G122" s="10" t="s">
        <v>234</v>
      </c>
      <c r="H122" s="11" t="s">
        <v>229</v>
      </c>
      <c r="I122" s="10" t="s">
        <v>19</v>
      </c>
      <c r="J122" s="144" t="s">
        <v>235</v>
      </c>
      <c r="K122" s="80"/>
    </row>
    <row r="123" spans="1:12">
      <c r="A123" s="15"/>
      <c r="B123" s="72"/>
      <c r="C123" s="85"/>
      <c r="D123" s="38"/>
      <c r="E123" s="10" t="s">
        <v>236</v>
      </c>
      <c r="F123" s="41" t="s">
        <v>237</v>
      </c>
      <c r="G123" s="10" t="s">
        <v>238</v>
      </c>
      <c r="H123" s="11" t="s">
        <v>229</v>
      </c>
      <c r="I123" s="10" t="s">
        <v>19</v>
      </c>
      <c r="J123" s="34" t="s">
        <v>95</v>
      </c>
      <c r="K123" s="69"/>
    </row>
    <row r="124" spans="1:12">
      <c r="A124" s="15"/>
      <c r="B124" s="72"/>
      <c r="C124" s="85"/>
      <c r="D124" s="38"/>
      <c r="E124" s="10" t="s">
        <v>239</v>
      </c>
      <c r="F124" s="41" t="s">
        <v>240</v>
      </c>
      <c r="G124" s="10" t="s">
        <v>241</v>
      </c>
      <c r="H124" s="11" t="s">
        <v>229</v>
      </c>
      <c r="I124" s="10" t="s">
        <v>19</v>
      </c>
      <c r="J124" s="10" t="s">
        <v>14</v>
      </c>
      <c r="K124" s="69"/>
    </row>
    <row r="125" ht="28" spans="1:12">
      <c r="A125" s="15"/>
      <c r="B125" s="72"/>
      <c r="C125" s="85"/>
      <c r="D125" s="79"/>
      <c r="E125" s="10" t="s">
        <v>242</v>
      </c>
      <c r="F125" s="41" t="s">
        <v>243</v>
      </c>
      <c r="G125" s="10" t="s">
        <v>244</v>
      </c>
      <c r="H125" s="11" t="s">
        <v>229</v>
      </c>
      <c r="I125" s="10" t="s">
        <v>19</v>
      </c>
      <c r="J125" s="10" t="s">
        <v>14</v>
      </c>
      <c r="K125" s="69"/>
    </row>
    <row r="126" ht="28" spans="1:12">
      <c r="A126" s="15"/>
      <c r="B126" s="72"/>
      <c r="C126" s="85"/>
      <c r="D126" s="43" t="s">
        <v>245</v>
      </c>
      <c r="E126" s="10" t="s">
        <v>246</v>
      </c>
      <c r="F126" s="41" t="s">
        <v>247</v>
      </c>
      <c r="G126" s="10" t="s">
        <v>248</v>
      </c>
      <c r="H126" s="11" t="s">
        <v>229</v>
      </c>
      <c r="I126" s="10" t="s">
        <v>19</v>
      </c>
      <c r="J126" s="10" t="s">
        <v>14</v>
      </c>
      <c r="K126" s="69"/>
    </row>
    <row r="127" spans="1:12">
      <c r="A127" s="15"/>
      <c r="B127" s="72"/>
      <c r="C127" s="85"/>
      <c r="D127" s="38"/>
      <c r="E127" s="74" t="s">
        <v>249</v>
      </c>
      <c r="F127" s="41" t="s">
        <v>145</v>
      </c>
      <c r="G127" s="10" t="s">
        <v>250</v>
      </c>
      <c r="H127" s="11" t="s">
        <v>147</v>
      </c>
      <c r="I127" s="10" t="s">
        <v>251</v>
      </c>
      <c r="J127" s="10" t="s">
        <v>14</v>
      </c>
      <c r="K127" s="69"/>
    </row>
    <row r="128" spans="1:12">
      <c r="A128" s="15"/>
      <c r="B128" s="72"/>
      <c r="C128" s="85"/>
      <c r="D128" s="38"/>
      <c r="E128" s="145"/>
      <c r="F128" s="41" t="s">
        <v>252</v>
      </c>
      <c r="G128" s="10" t="s">
        <v>253</v>
      </c>
      <c r="H128" s="11" t="s">
        <v>89</v>
      </c>
      <c r="I128" s="10" t="s">
        <v>19</v>
      </c>
      <c r="J128" s="10" t="s">
        <v>14</v>
      </c>
      <c r="K128" s="69"/>
    </row>
    <row r="129" spans="1:11">
      <c r="A129" s="15"/>
      <c r="B129" s="72"/>
      <c r="C129" s="85"/>
      <c r="D129" s="38"/>
      <c r="E129" s="10" t="s">
        <v>254</v>
      </c>
      <c r="F129" s="41" t="s">
        <v>163</v>
      </c>
      <c r="G129" s="10" t="s">
        <v>255</v>
      </c>
      <c r="H129" s="11" t="s">
        <v>89</v>
      </c>
      <c r="I129" s="10" t="s">
        <v>19</v>
      </c>
      <c r="J129" s="10" t="s">
        <v>14</v>
      </c>
      <c r="K129" s="69"/>
    </row>
    <row r="130" spans="1:11">
      <c r="A130" s="15"/>
      <c r="B130" s="72"/>
      <c r="C130" s="85"/>
      <c r="D130" s="79"/>
      <c r="E130" s="10" t="s">
        <v>256</v>
      </c>
      <c r="F130" s="41" t="s">
        <v>161</v>
      </c>
      <c r="G130" s="10" t="s">
        <v>257</v>
      </c>
      <c r="H130" s="11" t="s">
        <v>89</v>
      </c>
      <c r="I130" s="10" t="s">
        <v>19</v>
      </c>
      <c r="J130" s="10" t="s">
        <v>14</v>
      </c>
      <c r="K130" s="69"/>
    </row>
    <row r="131" spans="1:11">
      <c r="A131" s="15"/>
      <c r="B131" s="72"/>
      <c r="C131" s="85"/>
      <c r="D131" s="43" t="s">
        <v>258</v>
      </c>
      <c r="E131" s="10" t="s">
        <v>259</v>
      </c>
      <c r="F131" s="41" t="s">
        <v>158</v>
      </c>
      <c r="G131" s="10" t="s">
        <v>260</v>
      </c>
      <c r="H131" s="11" t="s">
        <v>89</v>
      </c>
      <c r="I131" s="10" t="s">
        <v>19</v>
      </c>
      <c r="J131" s="20"/>
      <c r="K131" s="69"/>
    </row>
    <row r="132" ht="28" spans="1:11">
      <c r="A132" s="15"/>
      <c r="B132" s="37"/>
      <c r="C132" s="90"/>
      <c r="D132" s="79"/>
      <c r="E132" s="10" t="s">
        <v>261</v>
      </c>
      <c r="F132" s="41" t="s">
        <v>155</v>
      </c>
      <c r="G132" s="10" t="s">
        <v>262</v>
      </c>
      <c r="H132" s="11" t="s">
        <v>89</v>
      </c>
      <c r="I132" s="10" t="s">
        <v>19</v>
      </c>
      <c r="J132" s="20"/>
      <c r="K132" s="69"/>
    </row>
    <row r="133" spans="1:11">
      <c r="A133" s="15"/>
      <c r="B133" s="72"/>
      <c r="C133" s="43"/>
      <c r="D133" s="39"/>
      <c r="E133" s="43"/>
      <c r="F133" s="41"/>
      <c r="G133" s="10"/>
      <c r="H133" s="11"/>
      <c r="I133" s="10"/>
      <c r="J133" s="20"/>
      <c r="K133" s="69"/>
    </row>
    <row r="134" spans="1:11">
      <c r="A134" s="15"/>
      <c r="B134" s="146" t="s">
        <v>224</v>
      </c>
      <c r="C134" s="91" t="s">
        <v>148</v>
      </c>
      <c r="D134" s="102"/>
      <c r="E134" s="91" t="s">
        <v>263</v>
      </c>
      <c r="F134" s="41" t="s">
        <v>227</v>
      </c>
      <c r="G134" s="10" t="s">
        <v>228</v>
      </c>
      <c r="H134" s="11" t="s">
        <v>229</v>
      </c>
      <c r="I134" s="10" t="s">
        <v>19</v>
      </c>
      <c r="J134" s="10" t="s">
        <v>230</v>
      </c>
      <c r="K134" s="69"/>
    </row>
    <row r="135" spans="1:11">
      <c r="A135" s="15"/>
      <c r="B135" s="147"/>
      <c r="C135" s="93"/>
      <c r="D135" s="102"/>
      <c r="E135" s="93"/>
      <c r="F135" s="41" t="s">
        <v>233</v>
      </c>
      <c r="G135" s="10" t="s">
        <v>234</v>
      </c>
      <c r="H135" s="11" t="s">
        <v>229</v>
      </c>
      <c r="I135" s="10" t="s">
        <v>19</v>
      </c>
      <c r="J135" s="144" t="s">
        <v>235</v>
      </c>
      <c r="K135" s="69"/>
    </row>
    <row r="136" spans="1:11">
      <c r="A136" s="15"/>
      <c r="B136" s="147"/>
      <c r="C136" s="93"/>
      <c r="D136" s="102"/>
      <c r="E136" s="93"/>
      <c r="F136" s="41" t="s">
        <v>237</v>
      </c>
      <c r="G136" s="10" t="s">
        <v>238</v>
      </c>
      <c r="H136" s="11" t="s">
        <v>229</v>
      </c>
      <c r="I136" s="10" t="s">
        <v>19</v>
      </c>
      <c r="J136" s="34" t="s">
        <v>95</v>
      </c>
      <c r="K136" s="69"/>
    </row>
    <row r="137" spans="1:11">
      <c r="A137" s="15"/>
      <c r="B137" s="147"/>
      <c r="C137" s="93"/>
      <c r="D137" s="102"/>
      <c r="E137" s="93"/>
      <c r="F137" s="41" t="s">
        <v>240</v>
      </c>
      <c r="G137" s="10" t="s">
        <v>241</v>
      </c>
      <c r="H137" s="11" t="s">
        <v>229</v>
      </c>
      <c r="I137" s="10" t="s">
        <v>19</v>
      </c>
      <c r="J137" s="10" t="s">
        <v>14</v>
      </c>
      <c r="K137" s="69"/>
    </row>
    <row r="138" spans="1:11">
      <c r="A138" s="15"/>
      <c r="B138" s="147"/>
      <c r="C138" s="93"/>
      <c r="D138" s="102"/>
      <c r="E138" s="101"/>
      <c r="F138" s="41" t="s">
        <v>243</v>
      </c>
      <c r="G138" s="10" t="s">
        <v>244</v>
      </c>
      <c r="H138" s="11" t="s">
        <v>229</v>
      </c>
      <c r="I138" s="10" t="s">
        <v>19</v>
      </c>
      <c r="J138" s="10" t="s">
        <v>14</v>
      </c>
      <c r="K138" s="69"/>
    </row>
    <row r="139" spans="1:11">
      <c r="A139" s="15"/>
      <c r="B139" s="147"/>
      <c r="C139" s="93"/>
      <c r="D139" s="102"/>
      <c r="E139" s="91" t="s">
        <v>264</v>
      </c>
      <c r="F139" s="41" t="s">
        <v>247</v>
      </c>
      <c r="G139" s="10" t="s">
        <v>248</v>
      </c>
      <c r="H139" s="11" t="s">
        <v>229</v>
      </c>
      <c r="I139" s="10" t="s">
        <v>19</v>
      </c>
      <c r="J139" s="10" t="s">
        <v>14</v>
      </c>
      <c r="K139" s="69"/>
    </row>
    <row r="140" spans="1:11">
      <c r="A140" s="15"/>
      <c r="B140" s="147"/>
      <c r="C140" s="93"/>
      <c r="D140" s="91"/>
      <c r="E140" s="93"/>
      <c r="F140" s="41" t="s">
        <v>145</v>
      </c>
      <c r="G140" s="10" t="s">
        <v>250</v>
      </c>
      <c r="H140" s="11" t="s">
        <v>147</v>
      </c>
      <c r="I140" s="10" t="s">
        <v>251</v>
      </c>
      <c r="J140" s="10" t="s">
        <v>14</v>
      </c>
      <c r="K140" s="69"/>
    </row>
    <row r="141" spans="1:11">
      <c r="A141" s="15"/>
      <c r="B141" s="147"/>
      <c r="C141" s="93"/>
      <c r="D141" s="101"/>
      <c r="E141" s="93"/>
      <c r="F141" s="41" t="s">
        <v>252</v>
      </c>
      <c r="G141" s="10" t="s">
        <v>253</v>
      </c>
      <c r="H141" s="11" t="s">
        <v>89</v>
      </c>
      <c r="I141" s="10" t="s">
        <v>19</v>
      </c>
      <c r="J141" s="10" t="s">
        <v>14</v>
      </c>
      <c r="K141" s="69"/>
    </row>
    <row r="142" spans="1:11">
      <c r="A142" s="15"/>
      <c r="B142" s="147"/>
      <c r="C142" s="93"/>
      <c r="D142" s="102"/>
      <c r="E142" s="93"/>
      <c r="F142" s="41" t="s">
        <v>163</v>
      </c>
      <c r="G142" s="10" t="s">
        <v>255</v>
      </c>
      <c r="H142" s="11" t="s">
        <v>89</v>
      </c>
      <c r="I142" s="10" t="s">
        <v>19</v>
      </c>
      <c r="J142" s="10" t="s">
        <v>14</v>
      </c>
      <c r="K142" s="69"/>
    </row>
    <row r="143" spans="1:11">
      <c r="A143" s="15"/>
      <c r="B143" s="147"/>
      <c r="C143" s="93"/>
      <c r="D143" s="102"/>
      <c r="E143" s="101"/>
      <c r="F143" s="41" t="s">
        <v>161</v>
      </c>
      <c r="G143" s="10" t="s">
        <v>257</v>
      </c>
      <c r="H143" s="11" t="s">
        <v>89</v>
      </c>
      <c r="I143" s="10" t="s">
        <v>19</v>
      </c>
      <c r="J143" s="10" t="s">
        <v>14</v>
      </c>
      <c r="K143" s="69"/>
    </row>
    <row r="144" spans="1:11">
      <c r="A144" s="15"/>
      <c r="B144" s="147"/>
      <c r="C144" s="93"/>
      <c r="D144" s="102"/>
      <c r="E144" s="91" t="s">
        <v>265</v>
      </c>
      <c r="F144" s="41" t="s">
        <v>158</v>
      </c>
      <c r="G144" s="10" t="s">
        <v>260</v>
      </c>
      <c r="H144" s="11" t="s">
        <v>89</v>
      </c>
      <c r="I144" s="10" t="s">
        <v>19</v>
      </c>
      <c r="J144" s="20"/>
      <c r="K144" s="69"/>
    </row>
    <row r="145" spans="1:11">
      <c r="A145" s="40"/>
      <c r="B145" s="148"/>
      <c r="C145" s="101"/>
      <c r="D145" s="102"/>
      <c r="E145" s="101"/>
      <c r="F145" s="41" t="s">
        <v>155</v>
      </c>
      <c r="G145" s="10" t="s">
        <v>262</v>
      </c>
      <c r="H145" s="11" t="s">
        <v>89</v>
      </c>
      <c r="I145" s="10" t="s">
        <v>19</v>
      </c>
      <c r="J145" s="20"/>
      <c r="K145" s="69"/>
    </row>
    <row r="146" spans="1:11">
      <c r="A146" s="149" t="s">
        <v>266</v>
      </c>
      <c r="B146" s="150"/>
      <c r="C146" s="150"/>
      <c r="D146" s="151"/>
      <c r="E146" s="150"/>
      <c r="F146" s="41"/>
      <c r="G146" s="10"/>
      <c r="H146" s="11"/>
      <c r="I146" s="10"/>
      <c r="J146" s="20"/>
      <c r="K146" s="69"/>
    </row>
    <row r="147" spans="1:11">
      <c r="A147" s="149"/>
      <c r="B147" s="150"/>
      <c r="C147" s="150"/>
      <c r="D147" s="151"/>
      <c r="E147" s="150"/>
      <c r="F147" s="41"/>
      <c r="G147" s="10"/>
      <c r="H147" s="11"/>
      <c r="I147" s="10"/>
      <c r="J147" s="20"/>
      <c r="K147" s="69"/>
    </row>
    <row r="148" spans="1:11">
      <c r="A148" s="149"/>
      <c r="B148" s="150"/>
      <c r="C148" s="150"/>
      <c r="D148" s="151"/>
      <c r="E148" s="150"/>
      <c r="F148" s="41"/>
      <c r="G148" s="10"/>
      <c r="H148" s="11"/>
      <c r="I148" s="10"/>
      <c r="J148" s="20"/>
      <c r="K148" s="69"/>
    </row>
    <row r="149" spans="1:11">
      <c r="A149" s="149"/>
      <c r="B149" s="150"/>
      <c r="C149" s="150"/>
      <c r="D149" s="151"/>
      <c r="E149" s="150"/>
      <c r="F149" s="41"/>
      <c r="G149" s="10"/>
      <c r="H149" s="11"/>
      <c r="I149" s="10"/>
      <c r="J149" s="20"/>
      <c r="K149" s="69"/>
    </row>
    <row r="150" spans="1:11">
      <c r="A150" s="149"/>
      <c r="B150" s="150"/>
      <c r="C150" s="150"/>
      <c r="D150" s="151"/>
      <c r="E150" s="150"/>
      <c r="F150" s="41"/>
      <c r="G150" s="10"/>
      <c r="H150" s="11"/>
      <c r="I150" s="10"/>
      <c r="J150" s="20"/>
      <c r="K150" s="69"/>
    </row>
    <row r="151" spans="1:11">
      <c r="A151" s="149"/>
      <c r="B151" s="150"/>
      <c r="C151" s="150"/>
      <c r="D151" s="151"/>
      <c r="E151" s="150"/>
      <c r="F151" s="41"/>
      <c r="G151" s="10"/>
      <c r="H151" s="11"/>
      <c r="I151" s="10"/>
      <c r="J151" s="20"/>
      <c r="K151" s="69"/>
    </row>
    <row r="152" spans="1:11">
      <c r="A152" s="149"/>
      <c r="B152" s="150"/>
      <c r="C152" s="150"/>
      <c r="D152" s="151"/>
      <c r="E152" s="150"/>
      <c r="F152" s="41"/>
      <c r="G152" s="10"/>
      <c r="H152" s="11"/>
      <c r="I152" s="10"/>
      <c r="J152" s="20"/>
      <c r="K152" s="69"/>
    </row>
    <row r="153" spans="1:11">
      <c r="A153" s="149"/>
      <c r="B153" s="150"/>
      <c r="C153" s="150"/>
      <c r="D153" s="151"/>
      <c r="E153" s="150"/>
      <c r="F153" s="41"/>
      <c r="G153" s="10"/>
      <c r="H153" s="11"/>
      <c r="I153" s="10"/>
      <c r="J153" s="20"/>
      <c r="K153" s="69"/>
    </row>
    <row r="154" spans="1:11">
      <c r="A154" s="149"/>
      <c r="B154" s="150"/>
      <c r="C154" s="150"/>
      <c r="D154" s="151"/>
      <c r="E154" s="150"/>
      <c r="F154" s="41"/>
      <c r="G154" s="10"/>
      <c r="H154" s="11"/>
      <c r="I154" s="10"/>
      <c r="J154" s="20"/>
      <c r="K154" s="69"/>
    </row>
    <row r="155" spans="1:11">
      <c r="A155" s="152"/>
      <c r="B155" s="150"/>
      <c r="C155" s="150"/>
      <c r="D155" s="151"/>
      <c r="E155" s="150"/>
      <c r="F155" s="41"/>
      <c r="G155" s="10"/>
      <c r="H155" s="11"/>
      <c r="I155" s="10"/>
      <c r="J155" s="20"/>
      <c r="K155" s="69"/>
    </row>
    <row r="156" spans="1:11">
      <c r="A156" s="39"/>
      <c r="B156" s="72"/>
      <c r="C156" s="38"/>
      <c r="D156" s="40"/>
      <c r="E156" s="38"/>
      <c r="F156" s="41"/>
      <c r="G156" s="10"/>
      <c r="H156" s="11"/>
      <c r="I156" s="10"/>
      <c r="J156" s="20"/>
      <c r="K156" s="69"/>
    </row>
    <row r="157" spans="1:11">
      <c r="A157" s="153" t="s">
        <v>267</v>
      </c>
      <c r="B157" s="4" t="s">
        <v>268</v>
      </c>
      <c r="C157" s="43" t="s">
        <v>269</v>
      </c>
      <c r="D157" s="39"/>
      <c r="E157" s="154" t="s">
        <v>270</v>
      </c>
      <c r="F157" s="41" t="s">
        <v>271</v>
      </c>
      <c r="G157" s="10" t="s">
        <v>272</v>
      </c>
      <c r="H157" s="11" t="s">
        <v>94</v>
      </c>
      <c r="I157" s="10" t="s">
        <v>251</v>
      </c>
      <c r="J157" s="20" t="s">
        <v>273</v>
      </c>
      <c r="K157" s="13" t="s">
        <v>21</v>
      </c>
    </row>
    <row r="158" spans="1:11">
      <c r="A158" s="153"/>
      <c r="B158" s="15"/>
      <c r="C158" s="38"/>
      <c r="D158" s="39"/>
      <c r="E158" s="155"/>
      <c r="F158" s="41" t="s">
        <v>38</v>
      </c>
      <c r="G158" s="10" t="s">
        <v>274</v>
      </c>
      <c r="H158" s="11" t="s">
        <v>229</v>
      </c>
      <c r="I158" s="10" t="s">
        <v>19</v>
      </c>
      <c r="J158" s="20" t="s">
        <v>273</v>
      </c>
      <c r="K158" s="13" t="s">
        <v>21</v>
      </c>
    </row>
    <row r="159" spans="1:11">
      <c r="A159" s="153"/>
      <c r="B159" s="15"/>
      <c r="C159" s="38"/>
      <c r="D159" s="39"/>
      <c r="E159" s="155"/>
      <c r="F159" s="41" t="s">
        <v>275</v>
      </c>
      <c r="G159" s="10" t="s">
        <v>276</v>
      </c>
      <c r="H159" s="11" t="s">
        <v>229</v>
      </c>
      <c r="I159" s="10" t="s">
        <v>19</v>
      </c>
      <c r="J159" s="20" t="s">
        <v>277</v>
      </c>
      <c r="K159" s="13" t="s">
        <v>21</v>
      </c>
    </row>
    <row r="160" spans="1:11">
      <c r="A160" s="153"/>
      <c r="B160" s="15"/>
      <c r="C160" s="38"/>
      <c r="D160" s="39"/>
      <c r="E160" s="155"/>
      <c r="F160" s="41" t="s">
        <v>278</v>
      </c>
      <c r="G160" s="10" t="s">
        <v>279</v>
      </c>
      <c r="H160" s="11" t="s">
        <v>229</v>
      </c>
      <c r="I160" s="10" t="s">
        <v>19</v>
      </c>
      <c r="J160" s="20" t="s">
        <v>280</v>
      </c>
      <c r="K160" s="13" t="s">
        <v>21</v>
      </c>
    </row>
    <row r="161" ht="28" spans="1:11">
      <c r="A161" s="153"/>
      <c r="B161" s="40"/>
      <c r="C161" s="79"/>
      <c r="D161" s="39"/>
      <c r="E161" s="156"/>
      <c r="F161" s="41" t="s">
        <v>281</v>
      </c>
      <c r="G161" s="10" t="s">
        <v>282</v>
      </c>
      <c r="H161" s="11" t="s">
        <v>283</v>
      </c>
      <c r="I161" s="10" t="s">
        <v>19</v>
      </c>
      <c r="J161" s="20" t="s">
        <v>284</v>
      </c>
      <c r="K161" s="13" t="s">
        <v>21</v>
      </c>
    </row>
    <row r="162" spans="1:11">
      <c r="A162" s="153"/>
      <c r="B162" s="11" t="s">
        <v>26</v>
      </c>
      <c r="C162" s="11" t="s">
        <v>27</v>
      </c>
      <c r="D162" s="39"/>
      <c r="E162" s="84" t="s">
        <v>285</v>
      </c>
      <c r="F162" s="41" t="s">
        <v>28</v>
      </c>
      <c r="G162" s="10" t="s">
        <v>29</v>
      </c>
      <c r="H162" s="11" t="s">
        <v>8</v>
      </c>
      <c r="I162" s="10" t="s">
        <v>8</v>
      </c>
      <c r="J162" s="20" t="s">
        <v>286</v>
      </c>
      <c r="K162" s="13" t="s">
        <v>21</v>
      </c>
    </row>
    <row r="163" ht="28" spans="1:11">
      <c r="A163" s="153"/>
      <c r="B163" s="11" t="s">
        <v>287</v>
      </c>
      <c r="C163" s="11"/>
      <c r="D163" s="39"/>
      <c r="E163" s="84" t="s">
        <v>288</v>
      </c>
      <c r="F163" s="41" t="s">
        <v>289</v>
      </c>
      <c r="G163" s="10" t="s">
        <v>290</v>
      </c>
      <c r="H163" s="11"/>
      <c r="I163" s="10" t="s">
        <v>251</v>
      </c>
      <c r="J163" s="20" t="s">
        <v>291</v>
      </c>
      <c r="K163" s="13" t="s">
        <v>21</v>
      </c>
    </row>
    <row r="164" ht="28" spans="1:11">
      <c r="A164" s="153"/>
      <c r="B164" s="37" t="s">
        <v>292</v>
      </c>
      <c r="C164" s="11" t="s">
        <v>293</v>
      </c>
      <c r="D164" s="39"/>
      <c r="E164" s="84" t="s">
        <v>270</v>
      </c>
      <c r="F164" s="41"/>
      <c r="G164" s="10" t="s">
        <v>294</v>
      </c>
      <c r="H164" s="11" t="s">
        <v>18</v>
      </c>
      <c r="I164" s="10" t="s">
        <v>19</v>
      </c>
      <c r="J164" s="20"/>
      <c r="K164" s="13" t="s">
        <v>21</v>
      </c>
    </row>
    <row r="165" ht="28" spans="1:11">
      <c r="A165" s="153"/>
      <c r="B165" s="157" t="s">
        <v>295</v>
      </c>
      <c r="C165" s="158" t="s">
        <v>296</v>
      </c>
      <c r="D165" s="159" t="s">
        <v>149</v>
      </c>
      <c r="E165" s="160" t="s">
        <v>270</v>
      </c>
      <c r="F165" s="161"/>
      <c r="G165" s="162" t="s">
        <v>297</v>
      </c>
      <c r="H165" s="11"/>
      <c r="I165" s="10" t="s">
        <v>298</v>
      </c>
      <c r="J165" s="20"/>
      <c r="K165" s="13" t="s">
        <v>21</v>
      </c>
    </row>
    <row r="166" spans="1:11">
      <c r="A166" s="153"/>
      <c r="B166" s="72" t="s">
        <v>299</v>
      </c>
      <c r="C166" s="43" t="s">
        <v>300</v>
      </c>
      <c r="D166" s="39"/>
      <c r="E166" s="154" t="s">
        <v>270</v>
      </c>
      <c r="F166" s="41" t="s">
        <v>301</v>
      </c>
      <c r="G166" s="10" t="s">
        <v>302</v>
      </c>
      <c r="H166" s="11"/>
      <c r="I166" s="10"/>
      <c r="J166" s="20"/>
      <c r="K166" s="13" t="s">
        <v>21</v>
      </c>
    </row>
    <row r="167" spans="1:11">
      <c r="A167" s="153"/>
      <c r="B167" s="72"/>
      <c r="C167" s="38"/>
      <c r="D167" s="39"/>
      <c r="E167" s="155"/>
      <c r="F167" s="41" t="s">
        <v>303</v>
      </c>
      <c r="G167" s="10" t="s">
        <v>304</v>
      </c>
      <c r="H167" s="11"/>
      <c r="I167" s="10"/>
      <c r="J167" s="20"/>
      <c r="K167" s="13" t="s">
        <v>21</v>
      </c>
    </row>
    <row r="168" spans="1:11">
      <c r="A168" s="153"/>
      <c r="B168" s="37"/>
      <c r="C168" s="79"/>
      <c r="D168" s="39"/>
      <c r="E168" s="156"/>
      <c r="F168" s="41" t="s">
        <v>305</v>
      </c>
      <c r="G168" s="10" t="s">
        <v>306</v>
      </c>
      <c r="H168" s="11"/>
      <c r="I168" s="10"/>
      <c r="J168" s="20"/>
      <c r="K168" s="13" t="s">
        <v>21</v>
      </c>
    </row>
    <row r="169" spans="1:11">
      <c r="A169" s="153"/>
      <c r="B169" s="163" t="s">
        <v>307</v>
      </c>
      <c r="C169" s="134" t="s">
        <v>308</v>
      </c>
      <c r="D169" s="126" t="s">
        <v>149</v>
      </c>
      <c r="E169" s="164" t="s">
        <v>270</v>
      </c>
      <c r="F169" s="161" t="s">
        <v>309</v>
      </c>
      <c r="G169" s="162" t="s">
        <v>310</v>
      </c>
      <c r="H169" s="11" t="s">
        <v>18</v>
      </c>
      <c r="I169" s="10" t="s">
        <v>19</v>
      </c>
      <c r="J169" s="20"/>
      <c r="K169" s="13" t="s">
        <v>21</v>
      </c>
    </row>
    <row r="170" spans="1:11">
      <c r="A170" s="153"/>
      <c r="B170" s="163"/>
      <c r="C170" s="135"/>
      <c r="D170" s="130"/>
      <c r="E170" s="165"/>
      <c r="F170" s="161" t="s">
        <v>311</v>
      </c>
      <c r="G170" s="162" t="s">
        <v>312</v>
      </c>
      <c r="H170" s="11" t="s">
        <v>229</v>
      </c>
      <c r="I170" s="10" t="s">
        <v>19</v>
      </c>
      <c r="J170" s="20"/>
      <c r="K170" s="13" t="s">
        <v>21</v>
      </c>
    </row>
    <row r="171" spans="1:11">
      <c r="A171" s="153"/>
      <c r="B171" s="157"/>
      <c r="C171" s="136"/>
      <c r="D171" s="130"/>
      <c r="E171" s="166"/>
      <c r="F171" s="161" t="s">
        <v>313</v>
      </c>
      <c r="G171" s="162" t="s">
        <v>314</v>
      </c>
      <c r="H171" s="11" t="s">
        <v>229</v>
      </c>
      <c r="I171" s="10" t="s">
        <v>19</v>
      </c>
      <c r="J171" s="20"/>
      <c r="K171" s="13" t="s">
        <v>21</v>
      </c>
    </row>
    <row r="172" spans="1:11">
      <c r="A172" s="153"/>
      <c r="B172" s="163" t="s">
        <v>315</v>
      </c>
      <c r="C172" s="134" t="s">
        <v>316</v>
      </c>
      <c r="D172" s="130"/>
      <c r="E172" s="164" t="s">
        <v>270</v>
      </c>
      <c r="F172" s="161" t="s">
        <v>317</v>
      </c>
      <c r="G172" s="162" t="s">
        <v>318</v>
      </c>
      <c r="H172" s="11" t="s">
        <v>18</v>
      </c>
      <c r="I172" s="10" t="s">
        <v>19</v>
      </c>
      <c r="J172" s="20"/>
      <c r="K172" s="13" t="s">
        <v>21</v>
      </c>
    </row>
    <row r="173" spans="1:11">
      <c r="A173" s="153"/>
      <c r="B173" s="163"/>
      <c r="C173" s="135"/>
      <c r="D173" s="130"/>
      <c r="E173" s="165"/>
      <c r="F173" s="161" t="s">
        <v>319</v>
      </c>
      <c r="G173" s="162" t="s">
        <v>320</v>
      </c>
      <c r="H173" s="11" t="s">
        <v>229</v>
      </c>
      <c r="I173" s="10" t="s">
        <v>19</v>
      </c>
      <c r="J173" s="20"/>
      <c r="K173" s="13" t="s">
        <v>21</v>
      </c>
    </row>
    <row r="174" spans="1:11">
      <c r="A174" s="167"/>
      <c r="B174" s="157"/>
      <c r="C174" s="136"/>
      <c r="D174" s="132"/>
      <c r="E174" s="166"/>
      <c r="F174" s="161" t="s">
        <v>321</v>
      </c>
      <c r="G174" s="162" t="s">
        <v>322</v>
      </c>
      <c r="H174" s="11" t="s">
        <v>229</v>
      </c>
      <c r="I174" s="10" t="s">
        <v>19</v>
      </c>
      <c r="J174" s="20"/>
      <c r="K174" s="13" t="s">
        <v>21</v>
      </c>
    </row>
    <row r="175" spans="1:11">
      <c r="A175" s="15"/>
      <c r="B175" s="72"/>
      <c r="C175" s="43"/>
      <c r="D175" s="4"/>
      <c r="E175" s="43"/>
      <c r="F175" s="73"/>
      <c r="G175" s="74"/>
      <c r="H175" s="43"/>
      <c r="I175" s="74"/>
      <c r="J175" s="20"/>
      <c r="K175" s="69"/>
    </row>
    <row r="176" spans="1:11">
      <c r="A176" s="168" t="s">
        <v>323</v>
      </c>
      <c r="B176" s="169"/>
      <c r="C176" s="169"/>
      <c r="D176" s="169"/>
      <c r="E176" s="169"/>
      <c r="F176" s="169"/>
      <c r="G176" s="169"/>
      <c r="H176" s="169"/>
      <c r="I176" s="170"/>
      <c r="J176" s="20"/>
      <c r="K176" s="69"/>
    </row>
    <row r="177" spans="1:11">
      <c r="A177" s="15" t="s">
        <v>324</v>
      </c>
      <c r="B177" s="171"/>
      <c r="C177" s="172"/>
      <c r="D177" s="173" t="s">
        <v>325</v>
      </c>
      <c r="E177" s="172" t="s">
        <v>326</v>
      </c>
      <c r="F177" s="174"/>
      <c r="G177" s="175"/>
      <c r="H177" s="172"/>
      <c r="I177" s="175"/>
      <c r="J177" s="20"/>
      <c r="K177" s="69"/>
    </row>
    <row r="178" spans="1:11">
      <c r="A178" s="40"/>
      <c r="B178" s="171"/>
      <c r="C178" s="172"/>
      <c r="D178" s="173" t="s">
        <v>327</v>
      </c>
      <c r="E178" s="172" t="s">
        <v>328</v>
      </c>
      <c r="F178" s="174"/>
      <c r="G178" s="175"/>
      <c r="H178" s="172"/>
      <c r="I178" s="175"/>
      <c r="J178" s="20"/>
      <c r="K178" s="13" t="s">
        <v>21</v>
      </c>
    </row>
    <row r="179" ht="28" spans="1:11">
      <c r="A179" s="15" t="s">
        <v>329</v>
      </c>
      <c r="B179" s="171" t="s">
        <v>330</v>
      </c>
      <c r="C179" s="172" t="s">
        <v>331</v>
      </c>
      <c r="D179" s="173" t="s">
        <v>332</v>
      </c>
      <c r="E179" s="172" t="s">
        <v>333</v>
      </c>
      <c r="F179" s="174"/>
      <c r="G179" s="175"/>
      <c r="H179" s="172"/>
      <c r="I179" s="175"/>
      <c r="J179" s="20"/>
      <c r="K179" s="13" t="s">
        <v>21</v>
      </c>
    </row>
    <row r="180" ht="28" spans="1:11">
      <c r="A180" s="40"/>
      <c r="B180" s="171" t="s">
        <v>334</v>
      </c>
      <c r="C180" s="172" t="s">
        <v>300</v>
      </c>
      <c r="D180" s="173" t="s">
        <v>335</v>
      </c>
      <c r="E180" s="172" t="s">
        <v>326</v>
      </c>
      <c r="F180" s="174"/>
      <c r="G180" s="175"/>
      <c r="H180" s="172"/>
      <c r="I180" s="175"/>
      <c r="J180" s="20"/>
      <c r="K180" s="13" t="s">
        <v>21</v>
      </c>
    </row>
    <row r="181" spans="1:11">
      <c r="A181" s="40"/>
      <c r="B181" s="37"/>
      <c r="C181" s="11"/>
      <c r="D181" s="39"/>
      <c r="E181" s="11"/>
      <c r="F181" s="41"/>
      <c r="G181" s="10"/>
      <c r="H181" s="11"/>
      <c r="I181" s="10"/>
      <c r="J181" s="20"/>
      <c r="K181" s="69"/>
    </row>
    <row r="182" spans="1:11">
      <c r="A182" s="40"/>
      <c r="B182" s="37"/>
      <c r="C182" s="11"/>
      <c r="D182" s="39"/>
      <c r="E182" s="11"/>
      <c r="F182" s="41"/>
      <c r="G182" s="10"/>
      <c r="H182" s="11"/>
      <c r="I182" s="10"/>
      <c r="J182" s="20"/>
      <c r="K182" s="69"/>
    </row>
    <row r="183" spans="1:11">
      <c r="A183" s="40"/>
      <c r="B183" s="37"/>
      <c r="C183" s="11"/>
      <c r="D183" s="39"/>
      <c r="E183" s="11"/>
      <c r="F183" s="41"/>
      <c r="G183" s="10"/>
      <c r="H183" s="11"/>
      <c r="I183" s="10"/>
      <c r="J183" s="20"/>
      <c r="K183" s="69"/>
    </row>
    <row r="184" spans="1:11">
      <c r="A184" s="40"/>
      <c r="B184" s="37"/>
      <c r="C184" s="11"/>
      <c r="D184" s="39"/>
      <c r="E184" s="11"/>
      <c r="F184" s="41"/>
      <c r="G184" s="10"/>
      <c r="H184" s="11"/>
      <c r="I184" s="10"/>
      <c r="J184" s="20"/>
      <c r="K184" s="69"/>
    </row>
    <row r="185" spans="1:11">
      <c r="A185" s="40"/>
      <c r="B185" s="37"/>
      <c r="C185" s="11"/>
      <c r="D185" s="39"/>
      <c r="E185" s="11"/>
      <c r="F185" s="41"/>
      <c r="G185" s="10"/>
      <c r="H185" s="11"/>
      <c r="I185" s="10"/>
      <c r="J185" s="20"/>
      <c r="K185" s="69"/>
    </row>
    <row r="186" spans="1:11">
      <c r="A186" s="40"/>
      <c r="B186" s="37"/>
      <c r="C186" s="11"/>
      <c r="D186" s="39"/>
      <c r="E186" s="11"/>
      <c r="F186" s="41"/>
      <c r="G186" s="10"/>
      <c r="H186" s="11"/>
      <c r="I186" s="10"/>
      <c r="J186" s="20"/>
      <c r="K186" s="69"/>
    </row>
    <row r="187" spans="1:11">
      <c r="A187" s="40"/>
      <c r="B187" s="37"/>
      <c r="C187" s="11"/>
      <c r="D187" s="39"/>
      <c r="E187" s="11"/>
      <c r="F187" s="41"/>
      <c r="G187" s="10"/>
      <c r="H187" s="11"/>
      <c r="I187" s="10"/>
      <c r="J187" s="20"/>
      <c r="K187" s="69"/>
    </row>
    <row r="188" spans="1:11">
      <c r="A188" s="75"/>
      <c r="B188" s="75"/>
      <c r="C188" s="75"/>
      <c r="D188" s="76"/>
      <c r="E188" s="39"/>
      <c r="F188" s="75"/>
      <c r="G188" s="75"/>
      <c r="H188" s="76"/>
      <c r="I188" s="75"/>
      <c r="J188" s="75"/>
      <c r="K188" s="75"/>
    </row>
  </sheetData>
  <mergeCells count="92">
    <mergeCell ref="A176:I176"/>
    <mergeCell ref="A2:A145"/>
    <mergeCell ref="A146:A155"/>
    <mergeCell ref="A157:A174"/>
    <mergeCell ref="A177:A178"/>
    <mergeCell ref="A179:A180"/>
    <mergeCell ref="B2:B3"/>
    <mergeCell ref="B4:B5"/>
    <mergeCell ref="B6:B31"/>
    <mergeCell ref="B32:B67"/>
    <mergeCell ref="B70:B76"/>
    <mergeCell ref="B77:B83"/>
    <mergeCell ref="B85:B88"/>
    <mergeCell ref="B89:B92"/>
    <mergeCell ref="B94:B96"/>
    <mergeCell ref="B97:B99"/>
    <mergeCell ref="B100:B109"/>
    <mergeCell ref="B110:B119"/>
    <mergeCell ref="B121:B132"/>
    <mergeCell ref="B134:B145"/>
    <mergeCell ref="B157:B161"/>
    <mergeCell ref="B166:B168"/>
    <mergeCell ref="B169:B171"/>
    <mergeCell ref="B172:B174"/>
    <mergeCell ref="C2:C3"/>
    <mergeCell ref="C4:C5"/>
    <mergeCell ref="C6:C31"/>
    <mergeCell ref="C32:C67"/>
    <mergeCell ref="C70:C76"/>
    <mergeCell ref="C77:C83"/>
    <mergeCell ref="C85:C88"/>
    <mergeCell ref="C89:C92"/>
    <mergeCell ref="C94:C96"/>
    <mergeCell ref="C97:C99"/>
    <mergeCell ref="C100:C109"/>
    <mergeCell ref="C110:C119"/>
    <mergeCell ref="C121:C132"/>
    <mergeCell ref="C134:C145"/>
    <mergeCell ref="C157:C161"/>
    <mergeCell ref="C166:C168"/>
    <mergeCell ref="C169:C171"/>
    <mergeCell ref="C172:C174"/>
    <mergeCell ref="D2:D3"/>
    <mergeCell ref="D4:D5"/>
    <mergeCell ref="D6:D10"/>
    <mergeCell ref="D11:D15"/>
    <mergeCell ref="D16:D20"/>
    <mergeCell ref="D21:D26"/>
    <mergeCell ref="D27:D31"/>
    <mergeCell ref="D32:D38"/>
    <mergeCell ref="D39:D45"/>
    <mergeCell ref="D46:D52"/>
    <mergeCell ref="D53:D60"/>
    <mergeCell ref="D61:D67"/>
    <mergeCell ref="D70:D76"/>
    <mergeCell ref="D77:D83"/>
    <mergeCell ref="D85:D88"/>
    <mergeCell ref="D89:D92"/>
    <mergeCell ref="D94:D96"/>
    <mergeCell ref="D97:D99"/>
    <mergeCell ref="D110:D114"/>
    <mergeCell ref="D115:D119"/>
    <mergeCell ref="D121:D125"/>
    <mergeCell ref="D126:D130"/>
    <mergeCell ref="D131:D132"/>
    <mergeCell ref="D140:D141"/>
    <mergeCell ref="D169:D174"/>
    <mergeCell ref="E6:E10"/>
    <mergeCell ref="E11:E15"/>
    <mergeCell ref="E16:E20"/>
    <mergeCell ref="E21:E26"/>
    <mergeCell ref="E27:E31"/>
    <mergeCell ref="E32:E38"/>
    <mergeCell ref="E39:E45"/>
    <mergeCell ref="E46:E52"/>
    <mergeCell ref="E53:E57"/>
    <mergeCell ref="E58:E60"/>
    <mergeCell ref="E62:E67"/>
    <mergeCell ref="E70:E76"/>
    <mergeCell ref="E77:E81"/>
    <mergeCell ref="E82:E83"/>
    <mergeCell ref="E85:E88"/>
    <mergeCell ref="E89:E92"/>
    <mergeCell ref="E100:E109"/>
    <mergeCell ref="E127:E128"/>
    <mergeCell ref="E134:E138"/>
    <mergeCell ref="E139:E143"/>
    <mergeCell ref="E144:E145"/>
    <mergeCell ref="E157:E161"/>
    <mergeCell ref="E166:E168"/>
    <mergeCell ref="E169:E171"/>
    <mergeCell ref="E172:E17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4"/>
  <sheetViews>
    <sheetView tabSelected="1" zoomScale="115" zoomScaleNormal="115" workbookViewId="0">
      <pane ySplit="1" topLeftCell="A70" activePane="bottomLeft" state="frozen"/>
      <selection/>
      <selection pane="bottomLeft" activeCell="E20" sqref="E20:E25"/>
    </sheetView>
  </sheetViews>
  <sheetFormatPr defaultColWidth="9" defaultRowHeight="14"/>
  <cols>
    <col min="1" max="1" width="12.9545454545455" customWidth="1"/>
    <col min="2" max="2" width="15" customWidth="1"/>
    <col min="3" max="3" width="19.1818181818182" customWidth="1"/>
    <col min="4" max="4" width="15.6636363636364" style="1" customWidth="1"/>
    <col min="5" max="5" width="40.7090909090909" style="2" customWidth="1"/>
    <col min="6" max="6" width="25" customWidth="1"/>
    <col min="7" max="7" width="30" customWidth="1"/>
    <col min="8" max="8" width="11.3363636363636" style="1" customWidth="1"/>
    <col min="9" max="9" width="15" customWidth="1"/>
    <col min="10" max="10" width="64" customWidth="1"/>
    <col min="11" max="11" width="11.3" customWidth="1"/>
    <col min="12" max="12" width="35.2545454545455" customWidth="1"/>
    <col min="13" max="13" width="17.0727272727273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ht="28" spans="1:12">
      <c r="A2" s="4" t="s">
        <v>336</v>
      </c>
      <c r="B2" s="5" t="s">
        <v>12</v>
      </c>
      <c r="C2" s="6" t="s">
        <v>337</v>
      </c>
      <c r="D2" s="7" t="s">
        <v>14</v>
      </c>
      <c r="E2" s="8" t="s">
        <v>337</v>
      </c>
      <c r="F2" s="9" t="s">
        <v>16</v>
      </c>
      <c r="G2" s="10" t="s">
        <v>17</v>
      </c>
      <c r="H2" s="11" t="s">
        <v>18</v>
      </c>
      <c r="I2" s="10" t="s">
        <v>19</v>
      </c>
      <c r="J2" s="12" t="s">
        <v>338</v>
      </c>
      <c r="K2" s="13" t="s">
        <v>21</v>
      </c>
      <c r="L2" s="14"/>
    </row>
    <row r="3" spans="1:12">
      <c r="A3" s="15"/>
      <c r="B3" s="16"/>
      <c r="C3" s="17"/>
      <c r="D3" s="18"/>
      <c r="E3" s="19"/>
      <c r="F3" s="9" t="s">
        <v>23</v>
      </c>
      <c r="G3" s="10" t="s">
        <v>24</v>
      </c>
      <c r="H3" s="11" t="s">
        <v>18</v>
      </c>
      <c r="I3" s="10" t="s">
        <v>19</v>
      </c>
      <c r="J3" s="12" t="s">
        <v>339</v>
      </c>
      <c r="K3" s="13" t="s">
        <v>21</v>
      </c>
      <c r="L3" s="14"/>
    </row>
    <row r="4" ht="168" spans="1:12">
      <c r="A4" s="15"/>
      <c r="B4" s="5" t="s">
        <v>26</v>
      </c>
      <c r="C4" s="6" t="s">
        <v>27</v>
      </c>
      <c r="D4" s="7" t="s">
        <v>14</v>
      </c>
      <c r="E4" s="7"/>
      <c r="F4" s="9" t="s">
        <v>28</v>
      </c>
      <c r="G4" s="10" t="s">
        <v>29</v>
      </c>
      <c r="H4" s="11" t="s">
        <v>8</v>
      </c>
      <c r="I4" s="10" t="s">
        <v>8</v>
      </c>
      <c r="J4" s="20" t="s">
        <v>340</v>
      </c>
      <c r="K4" s="21"/>
      <c r="L4" s="22" t="s">
        <v>31</v>
      </c>
    </row>
    <row r="5" spans="1:12">
      <c r="A5" s="15"/>
      <c r="B5" s="5" t="s">
        <v>34</v>
      </c>
      <c r="C5" s="6" t="s">
        <v>341</v>
      </c>
      <c r="D5" s="23" t="s">
        <v>36</v>
      </c>
      <c r="E5" s="24" t="s">
        <v>37</v>
      </c>
      <c r="F5" s="9" t="s">
        <v>38</v>
      </c>
      <c r="G5" s="10" t="s">
        <v>39</v>
      </c>
      <c r="H5" s="25" t="s">
        <v>40</v>
      </c>
      <c r="I5" s="10" t="s">
        <v>19</v>
      </c>
      <c r="J5" s="26">
        <v>570</v>
      </c>
      <c r="K5" s="21"/>
    </row>
    <row r="6" spans="1:12">
      <c r="A6" s="15"/>
      <c r="B6" s="16"/>
      <c r="C6" s="27"/>
      <c r="D6" s="28"/>
      <c r="E6" s="29"/>
      <c r="F6" s="9" t="s">
        <v>41</v>
      </c>
      <c r="G6" s="10" t="s">
        <v>42</v>
      </c>
      <c r="H6" s="11" t="s">
        <v>18</v>
      </c>
      <c r="I6" s="10" t="s">
        <v>19</v>
      </c>
      <c r="J6" s="30" t="s">
        <v>342</v>
      </c>
      <c r="K6" s="21"/>
    </row>
    <row r="7" spans="1:12">
      <c r="A7" s="15"/>
      <c r="B7" s="16"/>
      <c r="C7" s="27"/>
      <c r="D7" s="28"/>
      <c r="E7" s="29"/>
      <c r="F7" s="9" t="s">
        <v>44</v>
      </c>
      <c r="G7" s="10" t="s">
        <v>45</v>
      </c>
      <c r="H7" s="11" t="s">
        <v>18</v>
      </c>
      <c r="I7" s="10" t="s">
        <v>19</v>
      </c>
      <c r="J7" s="31" t="s">
        <v>339</v>
      </c>
      <c r="K7" s="21"/>
      <c r="L7" s="14"/>
    </row>
    <row r="8" spans="1:12">
      <c r="A8" s="15"/>
      <c r="B8" s="16"/>
      <c r="C8" s="27"/>
      <c r="D8" s="28"/>
      <c r="E8" s="29"/>
      <c r="F8" s="9" t="s">
        <v>47</v>
      </c>
      <c r="G8" s="10" t="s">
        <v>48</v>
      </c>
      <c r="H8" s="11" t="s">
        <v>49</v>
      </c>
      <c r="I8" s="10" t="s">
        <v>19</v>
      </c>
      <c r="J8" s="31" t="s">
        <v>343</v>
      </c>
      <c r="K8" s="21"/>
      <c r="L8" s="32"/>
    </row>
    <row r="9" spans="1:12">
      <c r="A9" s="15"/>
      <c r="B9" s="16"/>
      <c r="C9" s="27"/>
      <c r="D9" s="28"/>
      <c r="E9" s="33"/>
      <c r="F9" s="9" t="s">
        <v>51</v>
      </c>
      <c r="G9" s="10" t="s">
        <v>52</v>
      </c>
      <c r="H9" s="11" t="s">
        <v>53</v>
      </c>
      <c r="I9" s="10" t="s">
        <v>19</v>
      </c>
      <c r="J9" s="10" t="s">
        <v>344</v>
      </c>
      <c r="K9" s="21"/>
      <c r="L9" s="32"/>
    </row>
    <row r="10" spans="1:12">
      <c r="A10" s="15"/>
      <c r="B10" s="16"/>
      <c r="C10" s="27"/>
      <c r="D10" s="23" t="s">
        <v>55</v>
      </c>
      <c r="E10" s="24" t="s">
        <v>165</v>
      </c>
      <c r="F10" s="9" t="s">
        <v>38</v>
      </c>
      <c r="G10" s="10" t="s">
        <v>345</v>
      </c>
      <c r="H10" s="11" t="s">
        <v>18</v>
      </c>
      <c r="I10" s="10" t="s">
        <v>19</v>
      </c>
      <c r="J10" s="20"/>
      <c r="K10" s="21"/>
      <c r="L10" s="32"/>
    </row>
    <row r="11" spans="1:12">
      <c r="A11" s="15"/>
      <c r="B11" s="16"/>
      <c r="C11" s="27"/>
      <c r="D11" s="28"/>
      <c r="E11" s="29"/>
      <c r="F11" s="9" t="s">
        <v>41</v>
      </c>
      <c r="G11" s="10" t="s">
        <v>346</v>
      </c>
      <c r="H11" s="11" t="s">
        <v>18</v>
      </c>
      <c r="I11" s="10" t="s">
        <v>19</v>
      </c>
      <c r="J11" s="10" t="s">
        <v>14</v>
      </c>
      <c r="K11" s="21"/>
      <c r="L11" s="32"/>
    </row>
    <row r="12" spans="1:12">
      <c r="A12" s="15"/>
      <c r="B12" s="16"/>
      <c r="C12" s="27"/>
      <c r="D12" s="28"/>
      <c r="E12" s="29"/>
      <c r="F12" s="9" t="s">
        <v>44</v>
      </c>
      <c r="G12" s="10" t="s">
        <v>347</v>
      </c>
      <c r="H12" s="11" t="s">
        <v>18</v>
      </c>
      <c r="I12" s="10" t="s">
        <v>19</v>
      </c>
      <c r="J12" s="20"/>
      <c r="K12" s="21"/>
      <c r="L12" s="14"/>
    </row>
    <row r="13" spans="1:12">
      <c r="A13" s="15"/>
      <c r="B13" s="16"/>
      <c r="C13" s="27"/>
      <c r="D13" s="28"/>
      <c r="E13" s="29"/>
      <c r="F13" s="9" t="s">
        <v>47</v>
      </c>
      <c r="G13" s="10" t="s">
        <v>348</v>
      </c>
      <c r="H13" s="11" t="s">
        <v>49</v>
      </c>
      <c r="I13" s="10" t="s">
        <v>19</v>
      </c>
      <c r="J13" s="34"/>
      <c r="K13" s="21"/>
      <c r="L13" s="32"/>
    </row>
    <row r="14" spans="1:12">
      <c r="A14" s="15"/>
      <c r="B14" s="16"/>
      <c r="C14" s="27"/>
      <c r="D14" s="28"/>
      <c r="E14" s="33"/>
      <c r="F14" s="9" t="s">
        <v>51</v>
      </c>
      <c r="G14" s="10" t="s">
        <v>349</v>
      </c>
      <c r="H14" s="11" t="s">
        <v>53</v>
      </c>
      <c r="I14" s="10" t="s">
        <v>19</v>
      </c>
      <c r="J14" s="10"/>
      <c r="K14" s="21"/>
      <c r="L14" s="32"/>
    </row>
    <row r="15" spans="1:12">
      <c r="A15" s="15"/>
      <c r="B15" s="16"/>
      <c r="C15" s="27"/>
      <c r="D15" s="23" t="s">
        <v>63</v>
      </c>
      <c r="E15" s="24" t="s">
        <v>64</v>
      </c>
      <c r="F15" s="9" t="s">
        <v>38</v>
      </c>
      <c r="G15" s="10" t="s">
        <v>345</v>
      </c>
      <c r="H15" s="11" t="s">
        <v>18</v>
      </c>
      <c r="I15" s="10" t="s">
        <v>19</v>
      </c>
      <c r="J15" s="26">
        <v>200</v>
      </c>
      <c r="K15" s="21"/>
      <c r="L15" s="32"/>
    </row>
    <row r="16" spans="1:12">
      <c r="A16" s="15"/>
      <c r="B16" s="16"/>
      <c r="C16" s="27"/>
      <c r="D16" s="28"/>
      <c r="E16" s="29"/>
      <c r="F16" s="9" t="s">
        <v>41</v>
      </c>
      <c r="G16" s="10" t="s">
        <v>346</v>
      </c>
      <c r="H16" s="11" t="s">
        <v>18</v>
      </c>
      <c r="I16" s="10" t="s">
        <v>19</v>
      </c>
      <c r="J16" s="10">
        <v>200</v>
      </c>
      <c r="K16" s="21"/>
      <c r="L16" s="32"/>
    </row>
    <row r="17" spans="1:12">
      <c r="A17" s="15"/>
      <c r="B17" s="16"/>
      <c r="C17" s="27"/>
      <c r="D17" s="28"/>
      <c r="E17" s="29"/>
      <c r="F17" s="9" t="s">
        <v>68</v>
      </c>
      <c r="G17" s="10" t="s">
        <v>350</v>
      </c>
      <c r="H17" s="11" t="s">
        <v>18</v>
      </c>
      <c r="I17" s="10" t="s">
        <v>19</v>
      </c>
      <c r="J17" s="30" t="s">
        <v>351</v>
      </c>
      <c r="K17" s="21"/>
      <c r="L17" s="32"/>
    </row>
    <row r="18" spans="1:12">
      <c r="A18" s="15"/>
      <c r="B18" s="16"/>
      <c r="C18" s="27"/>
      <c r="D18" s="28"/>
      <c r="E18" s="29"/>
      <c r="F18" s="9" t="s">
        <v>70</v>
      </c>
      <c r="G18" s="10" t="s">
        <v>352</v>
      </c>
      <c r="H18" s="11" t="s">
        <v>49</v>
      </c>
      <c r="I18" s="10" t="s">
        <v>19</v>
      </c>
      <c r="J18" s="10"/>
      <c r="K18" s="21"/>
      <c r="L18" s="32"/>
    </row>
    <row r="19" spans="1:12">
      <c r="A19" s="15"/>
      <c r="B19" s="16"/>
      <c r="C19" s="27"/>
      <c r="D19" s="28"/>
      <c r="E19" s="33"/>
      <c r="F19" s="9" t="s">
        <v>72</v>
      </c>
      <c r="G19" s="10" t="s">
        <v>353</v>
      </c>
      <c r="H19" s="11" t="s">
        <v>49</v>
      </c>
      <c r="I19" s="10" t="s">
        <v>19</v>
      </c>
      <c r="J19" s="10" t="s">
        <v>14</v>
      </c>
      <c r="K19" s="21"/>
      <c r="L19" s="32"/>
    </row>
    <row r="20" spans="1:12">
      <c r="A20" s="15"/>
      <c r="B20" s="16"/>
      <c r="C20" s="27"/>
      <c r="D20" s="23" t="s">
        <v>74</v>
      </c>
      <c r="E20" s="24" t="s">
        <v>75</v>
      </c>
      <c r="F20" s="9" t="s">
        <v>76</v>
      </c>
      <c r="G20" s="10" t="s">
        <v>354</v>
      </c>
      <c r="H20" s="11" t="s">
        <v>78</v>
      </c>
      <c r="I20" s="10" t="s">
        <v>19</v>
      </c>
      <c r="J20" s="26" t="s">
        <v>355</v>
      </c>
      <c r="K20" s="21"/>
      <c r="L20" s="32"/>
    </row>
    <row r="21" ht="28" spans="1:12">
      <c r="A21" s="15"/>
      <c r="B21" s="16"/>
      <c r="C21" s="27"/>
      <c r="D21" s="28"/>
      <c r="E21" s="29"/>
      <c r="F21" s="9" t="s">
        <v>79</v>
      </c>
      <c r="G21" s="10" t="s">
        <v>356</v>
      </c>
      <c r="H21" s="11" t="s">
        <v>78</v>
      </c>
      <c r="I21" s="10" t="s">
        <v>19</v>
      </c>
      <c r="J21" s="30" t="s">
        <v>357</v>
      </c>
      <c r="K21" s="21"/>
      <c r="L21" s="32"/>
    </row>
    <row r="22" spans="1:12">
      <c r="A22" s="15"/>
      <c r="B22" s="16"/>
      <c r="C22" s="27"/>
      <c r="D22" s="28"/>
      <c r="E22" s="29"/>
      <c r="F22" s="9" t="s">
        <v>81</v>
      </c>
      <c r="G22" s="10" t="s">
        <v>294</v>
      </c>
      <c r="H22" s="11" t="s">
        <v>18</v>
      </c>
      <c r="I22" s="10" t="s">
        <v>19</v>
      </c>
      <c r="J22" s="30" t="s">
        <v>358</v>
      </c>
      <c r="K22" s="21"/>
      <c r="L22" s="32"/>
    </row>
    <row r="23" spans="1:12">
      <c r="A23" s="15"/>
      <c r="B23" s="16"/>
      <c r="C23" s="27"/>
      <c r="D23" s="28"/>
      <c r="E23" s="29"/>
      <c r="F23" s="9" t="s">
        <v>83</v>
      </c>
      <c r="G23" s="10" t="s">
        <v>359</v>
      </c>
      <c r="H23" s="11" t="s">
        <v>49</v>
      </c>
      <c r="I23" s="10" t="s">
        <v>19</v>
      </c>
      <c r="J23" s="30" t="s">
        <v>360</v>
      </c>
      <c r="K23" s="21"/>
      <c r="L23" s="32"/>
    </row>
    <row r="24" spans="1:12">
      <c r="A24" s="15"/>
      <c r="B24" s="16"/>
      <c r="C24" s="27"/>
      <c r="D24" s="28"/>
      <c r="E24" s="29"/>
      <c r="F24" s="9" t="s">
        <v>85</v>
      </c>
      <c r="G24" s="10" t="s">
        <v>361</v>
      </c>
      <c r="H24" s="11" t="s">
        <v>49</v>
      </c>
      <c r="I24" s="10" t="s">
        <v>19</v>
      </c>
      <c r="J24" s="30" t="s">
        <v>362</v>
      </c>
      <c r="K24" s="21"/>
      <c r="L24" s="32"/>
    </row>
    <row r="25" spans="1:12">
      <c r="A25" s="15"/>
      <c r="B25" s="16"/>
      <c r="C25" s="27"/>
      <c r="D25" s="28"/>
      <c r="E25" s="33"/>
      <c r="F25" s="9" t="s">
        <v>87</v>
      </c>
      <c r="G25" s="10" t="s">
        <v>363</v>
      </c>
      <c r="H25" s="11" t="s">
        <v>89</v>
      </c>
      <c r="I25" s="10" t="s">
        <v>19</v>
      </c>
      <c r="J25" s="30" t="s">
        <v>364</v>
      </c>
      <c r="K25" s="21"/>
      <c r="L25" s="32"/>
    </row>
    <row r="26" ht="42" spans="1:12">
      <c r="A26" s="15"/>
      <c r="B26" s="16"/>
      <c r="C26" s="27"/>
      <c r="D26" s="23" t="s">
        <v>90</v>
      </c>
      <c r="E26" s="24" t="s">
        <v>91</v>
      </c>
      <c r="F26" s="9" t="s">
        <v>92</v>
      </c>
      <c r="G26" s="10" t="s">
        <v>365</v>
      </c>
      <c r="H26" s="11" t="s">
        <v>94</v>
      </c>
      <c r="I26" s="10" t="s">
        <v>19</v>
      </c>
      <c r="J26" s="35" t="s">
        <v>366</v>
      </c>
      <c r="K26" s="21"/>
      <c r="L26" s="32"/>
    </row>
    <row r="27" spans="1:12">
      <c r="A27" s="15"/>
      <c r="B27" s="16"/>
      <c r="C27" s="27"/>
      <c r="D27" s="28"/>
      <c r="E27" s="29"/>
      <c r="F27" s="9" t="s">
        <v>38</v>
      </c>
      <c r="G27" s="10" t="s">
        <v>274</v>
      </c>
      <c r="H27" s="11" t="s">
        <v>18</v>
      </c>
      <c r="I27" s="10" t="s">
        <v>19</v>
      </c>
      <c r="J27" s="26">
        <v>480</v>
      </c>
      <c r="K27" s="21"/>
      <c r="L27" s="32"/>
    </row>
    <row r="28" ht="28" spans="1:12">
      <c r="A28" s="15"/>
      <c r="B28" s="16"/>
      <c r="C28" s="27"/>
      <c r="D28" s="28"/>
      <c r="E28" s="29"/>
      <c r="F28" s="9" t="s">
        <v>97</v>
      </c>
      <c r="G28" s="10" t="s">
        <v>367</v>
      </c>
      <c r="H28" s="11" t="s">
        <v>18</v>
      </c>
      <c r="I28" s="10" t="s">
        <v>19</v>
      </c>
      <c r="J28" s="26" t="s">
        <v>368</v>
      </c>
      <c r="K28" s="21"/>
      <c r="L28" s="32"/>
    </row>
    <row r="29" spans="1:12">
      <c r="A29" s="15"/>
      <c r="B29" s="16"/>
      <c r="C29" s="27"/>
      <c r="D29" s="28"/>
      <c r="E29" s="29"/>
      <c r="F29" s="9" t="s">
        <v>81</v>
      </c>
      <c r="G29" s="10" t="s">
        <v>294</v>
      </c>
      <c r="H29" s="11" t="s">
        <v>18</v>
      </c>
      <c r="I29" s="10" t="s">
        <v>19</v>
      </c>
      <c r="J29" s="26" t="s">
        <v>369</v>
      </c>
      <c r="K29" s="36"/>
      <c r="L29" s="14"/>
    </row>
    <row r="30" spans="1:12">
      <c r="A30" s="15"/>
      <c r="B30" s="16"/>
      <c r="C30" s="17"/>
      <c r="D30" s="28"/>
      <c r="E30" s="33"/>
      <c r="F30" s="9" t="s">
        <v>83</v>
      </c>
      <c r="G30" s="10" t="s">
        <v>359</v>
      </c>
      <c r="H30" s="11" t="s">
        <v>49</v>
      </c>
      <c r="I30" s="10" t="s">
        <v>19</v>
      </c>
      <c r="J30" s="26" t="s">
        <v>370</v>
      </c>
      <c r="K30" s="21"/>
      <c r="L30" s="32"/>
    </row>
    <row r="31" spans="1:12">
      <c r="A31" s="15"/>
      <c r="B31" s="37"/>
      <c r="C31" s="38"/>
      <c r="D31" s="39"/>
      <c r="E31" s="40"/>
      <c r="F31" s="41"/>
      <c r="G31" s="10"/>
      <c r="H31" s="11"/>
      <c r="I31" s="10"/>
      <c r="J31" s="20"/>
      <c r="K31" s="36"/>
      <c r="L31" s="32"/>
    </row>
    <row r="32" spans="1:12">
      <c r="A32" s="15"/>
      <c r="B32" s="42"/>
      <c r="C32" s="43"/>
      <c r="D32" s="39"/>
      <c r="E32" s="40"/>
      <c r="F32" s="41"/>
      <c r="G32" s="10"/>
      <c r="H32" s="11"/>
      <c r="I32" s="10"/>
      <c r="J32" s="20"/>
      <c r="K32" s="36"/>
      <c r="L32" s="32"/>
    </row>
    <row r="33" spans="1:13">
      <c r="A33" s="15"/>
      <c r="B33" s="44" t="s">
        <v>122</v>
      </c>
      <c r="C33" s="45"/>
      <c r="D33" s="23"/>
      <c r="E33" s="46" t="s">
        <v>124</v>
      </c>
      <c r="F33" s="9" t="s">
        <v>125</v>
      </c>
      <c r="G33" s="10" t="s">
        <v>126</v>
      </c>
      <c r="H33" s="11" t="s">
        <v>49</v>
      </c>
      <c r="I33" s="10" t="s">
        <v>19</v>
      </c>
      <c r="J33" s="26" t="s">
        <v>371</v>
      </c>
      <c r="K33" s="36"/>
      <c r="L33" s="32"/>
    </row>
    <row r="34" spans="1:13">
      <c r="A34" s="15"/>
      <c r="B34" s="47"/>
      <c r="C34" s="48"/>
      <c r="D34" s="28"/>
      <c r="E34" s="49"/>
      <c r="F34" s="9" t="s">
        <v>47</v>
      </c>
      <c r="G34" s="10" t="s">
        <v>128</v>
      </c>
      <c r="H34" s="11" t="s">
        <v>49</v>
      </c>
      <c r="I34" s="10" t="s">
        <v>19</v>
      </c>
      <c r="J34" s="35" t="s">
        <v>372</v>
      </c>
      <c r="K34" s="21"/>
      <c r="L34" s="32"/>
    </row>
    <row r="35" spans="1:13">
      <c r="A35" s="15"/>
      <c r="B35" s="47"/>
      <c r="C35" s="48"/>
      <c r="D35" s="28"/>
      <c r="E35" s="49"/>
      <c r="F35" s="9" t="s">
        <v>129</v>
      </c>
      <c r="G35" s="10" t="s">
        <v>130</v>
      </c>
      <c r="H35" s="11" t="s">
        <v>49</v>
      </c>
      <c r="I35" s="10" t="s">
        <v>19</v>
      </c>
      <c r="J35" s="26" t="s">
        <v>370</v>
      </c>
      <c r="K35" s="21"/>
      <c r="L35" s="32"/>
    </row>
    <row r="36" spans="1:13">
      <c r="A36" s="15"/>
      <c r="B36" s="47"/>
      <c r="C36" s="48"/>
      <c r="D36" s="28"/>
      <c r="E36" s="49"/>
      <c r="F36" s="9" t="s">
        <v>132</v>
      </c>
      <c r="G36" s="10" t="s">
        <v>133</v>
      </c>
      <c r="H36" s="11" t="s">
        <v>53</v>
      </c>
      <c r="I36" s="10" t="s">
        <v>19</v>
      </c>
      <c r="J36" s="26" t="s">
        <v>373</v>
      </c>
      <c r="K36" s="36"/>
      <c r="L36" s="50"/>
      <c r="M36" s="51"/>
    </row>
    <row r="37" spans="1:13">
      <c r="A37" s="15"/>
      <c r="B37" s="47"/>
      <c r="C37" s="48"/>
      <c r="D37" s="28"/>
      <c r="E37" s="49"/>
      <c r="F37" s="9" t="s">
        <v>138</v>
      </c>
      <c r="G37" s="10" t="s">
        <v>139</v>
      </c>
      <c r="H37" s="11" t="s">
        <v>53</v>
      </c>
      <c r="I37" s="10" t="s">
        <v>19</v>
      </c>
      <c r="J37" s="26" t="s">
        <v>373</v>
      </c>
      <c r="K37" s="52"/>
      <c r="L37" s="32"/>
    </row>
    <row r="38" spans="1:13">
      <c r="A38" s="15"/>
      <c r="B38" s="47"/>
      <c r="C38" s="48"/>
      <c r="D38" s="28"/>
      <c r="E38" s="49"/>
      <c r="F38" s="9" t="s">
        <v>141</v>
      </c>
      <c r="G38" s="10" t="s">
        <v>142</v>
      </c>
      <c r="H38" s="11" t="s">
        <v>143</v>
      </c>
      <c r="I38" s="10" t="s">
        <v>19</v>
      </c>
      <c r="J38" s="26" t="s">
        <v>144</v>
      </c>
      <c r="K38" s="52"/>
      <c r="L38" s="32"/>
    </row>
    <row r="39" spans="1:13">
      <c r="A39" s="15"/>
      <c r="B39" s="47"/>
      <c r="C39" s="53"/>
      <c r="D39" s="28"/>
      <c r="E39" s="54"/>
      <c r="F39" s="9" t="s">
        <v>145</v>
      </c>
      <c r="G39" s="10" t="s">
        <v>146</v>
      </c>
      <c r="H39" s="11" t="s">
        <v>147</v>
      </c>
      <c r="I39" s="10" t="s">
        <v>19</v>
      </c>
      <c r="J39" s="30" t="s">
        <v>373</v>
      </c>
      <c r="K39" s="36"/>
      <c r="L39" s="32"/>
    </row>
    <row r="40" spans="1:13">
      <c r="A40" s="15"/>
      <c r="B40" s="16"/>
      <c r="C40" s="55"/>
      <c r="D40" s="18"/>
      <c r="E40" s="7"/>
      <c r="F40" s="9"/>
      <c r="G40" s="10"/>
      <c r="H40" s="11"/>
      <c r="I40" s="10"/>
      <c r="J40" s="10"/>
      <c r="K40" s="36"/>
      <c r="L40" s="32"/>
    </row>
    <row r="41" ht="28" spans="1:13">
      <c r="A41" s="15"/>
      <c r="B41" s="56" t="s">
        <v>152</v>
      </c>
      <c r="C41" s="24" t="s">
        <v>35</v>
      </c>
      <c r="D41" s="57" t="s">
        <v>153</v>
      </c>
      <c r="E41" s="58" t="s">
        <v>154</v>
      </c>
      <c r="F41" s="9" t="s">
        <v>155</v>
      </c>
      <c r="G41" s="10" t="s">
        <v>156</v>
      </c>
      <c r="H41" s="11" t="s">
        <v>89</v>
      </c>
      <c r="I41" s="10" t="s">
        <v>19</v>
      </c>
      <c r="J41" s="26" t="s">
        <v>374</v>
      </c>
      <c r="K41" s="52"/>
      <c r="L41" s="32"/>
    </row>
    <row r="42" ht="28" spans="1:13">
      <c r="A42" s="15"/>
      <c r="B42" s="59"/>
      <c r="C42" s="29"/>
      <c r="D42" s="60"/>
      <c r="E42" s="61"/>
      <c r="F42" s="9" t="s">
        <v>158</v>
      </c>
      <c r="G42" s="10" t="s">
        <v>159</v>
      </c>
      <c r="H42" s="11" t="s">
        <v>89</v>
      </c>
      <c r="I42" s="10" t="s">
        <v>19</v>
      </c>
      <c r="J42" s="26" t="s">
        <v>160</v>
      </c>
      <c r="K42" s="52"/>
      <c r="L42" s="32"/>
    </row>
    <row r="43" spans="1:13">
      <c r="A43" s="15"/>
      <c r="B43" s="59"/>
      <c r="C43" s="29"/>
      <c r="D43" s="60"/>
      <c r="E43" s="61"/>
      <c r="F43" s="9" t="s">
        <v>161</v>
      </c>
      <c r="G43" s="10" t="s">
        <v>162</v>
      </c>
      <c r="H43" s="11" t="s">
        <v>89</v>
      </c>
      <c r="I43" s="10" t="s">
        <v>19</v>
      </c>
      <c r="J43" s="10">
        <v>0</v>
      </c>
      <c r="K43" s="36"/>
      <c r="L43" s="32"/>
    </row>
    <row r="44" ht="28" spans="1:13">
      <c r="A44" s="15"/>
      <c r="B44" s="59"/>
      <c r="C44" s="33"/>
      <c r="D44" s="60"/>
      <c r="E44" s="62"/>
      <c r="F44" s="9" t="s">
        <v>163</v>
      </c>
      <c r="G44" s="10" t="s">
        <v>164</v>
      </c>
      <c r="H44" s="11" t="s">
        <v>89</v>
      </c>
      <c r="I44" s="10" t="s">
        <v>19</v>
      </c>
      <c r="J44" s="63" t="s">
        <v>165</v>
      </c>
      <c r="K44" s="21"/>
      <c r="L44" s="32"/>
    </row>
    <row r="45" spans="1:13">
      <c r="A45" s="15"/>
      <c r="B45" s="16"/>
      <c r="C45" s="55"/>
      <c r="D45" s="18"/>
      <c r="E45" s="7"/>
      <c r="F45" s="9"/>
      <c r="G45" s="10"/>
      <c r="H45" s="11"/>
      <c r="I45" s="10"/>
      <c r="J45" s="63"/>
      <c r="K45" s="21"/>
      <c r="L45" s="32"/>
    </row>
    <row r="46" spans="1:13">
      <c r="A46" s="15"/>
      <c r="B46" s="56" t="s">
        <v>167</v>
      </c>
      <c r="C46" s="24" t="s">
        <v>168</v>
      </c>
      <c r="D46" s="57" t="s">
        <v>14</v>
      </c>
      <c r="E46" s="57"/>
      <c r="F46" s="9" t="s">
        <v>169</v>
      </c>
      <c r="G46" s="10" t="s">
        <v>170</v>
      </c>
      <c r="H46" s="11" t="s">
        <v>49</v>
      </c>
      <c r="I46" s="10" t="s">
        <v>19</v>
      </c>
      <c r="J46" s="63" t="s">
        <v>171</v>
      </c>
      <c r="K46" s="21"/>
      <c r="L46" s="32"/>
    </row>
    <row r="47" spans="1:13">
      <c r="A47" s="15"/>
      <c r="B47" s="59"/>
      <c r="C47" s="29"/>
      <c r="D47" s="60"/>
      <c r="E47" s="57"/>
      <c r="F47" s="9" t="s">
        <v>172</v>
      </c>
      <c r="G47" s="10" t="s">
        <v>173</v>
      </c>
      <c r="H47" s="11" t="s">
        <v>174</v>
      </c>
      <c r="I47" s="10" t="s">
        <v>19</v>
      </c>
      <c r="J47" s="63" t="s">
        <v>171</v>
      </c>
      <c r="K47" s="21"/>
      <c r="L47" s="32"/>
    </row>
    <row r="48" ht="28" spans="1:13">
      <c r="A48" s="15"/>
      <c r="B48" s="59"/>
      <c r="C48" s="33"/>
      <c r="D48" s="60"/>
      <c r="E48" s="57"/>
      <c r="F48" s="9" t="s">
        <v>175</v>
      </c>
      <c r="G48" s="10" t="s">
        <v>176</v>
      </c>
      <c r="H48" s="11" t="s">
        <v>177</v>
      </c>
      <c r="I48" s="10" t="s">
        <v>19</v>
      </c>
      <c r="J48" s="63" t="s">
        <v>171</v>
      </c>
      <c r="K48" s="21"/>
      <c r="L48" s="32"/>
    </row>
    <row r="49" spans="1:12">
      <c r="A49" s="15"/>
      <c r="B49" s="56" t="s">
        <v>178</v>
      </c>
      <c r="C49" s="24" t="s">
        <v>179</v>
      </c>
      <c r="D49" s="57" t="s">
        <v>14</v>
      </c>
      <c r="E49" s="57"/>
      <c r="F49" s="9" t="s">
        <v>180</v>
      </c>
      <c r="G49" s="10" t="s">
        <v>181</v>
      </c>
      <c r="H49" s="11" t="s">
        <v>49</v>
      </c>
      <c r="I49" s="10" t="s">
        <v>19</v>
      </c>
      <c r="J49" s="63" t="s">
        <v>171</v>
      </c>
      <c r="K49" s="21"/>
      <c r="L49" s="32"/>
    </row>
    <row r="50" spans="1:12">
      <c r="A50" s="15"/>
      <c r="B50" s="59"/>
      <c r="C50" s="29"/>
      <c r="D50" s="60"/>
      <c r="E50" s="57"/>
      <c r="F50" s="9" t="s">
        <v>172</v>
      </c>
      <c r="G50" s="10" t="s">
        <v>173</v>
      </c>
      <c r="H50" s="11" t="s">
        <v>174</v>
      </c>
      <c r="I50" s="10" t="s">
        <v>19</v>
      </c>
      <c r="J50" s="63" t="s">
        <v>171</v>
      </c>
      <c r="K50" s="21"/>
      <c r="L50" s="32"/>
    </row>
    <row r="51" ht="28" spans="1:12">
      <c r="A51" s="15"/>
      <c r="B51" s="59"/>
      <c r="C51" s="33"/>
      <c r="D51" s="60"/>
      <c r="E51" s="57"/>
      <c r="F51" s="9" t="s">
        <v>175</v>
      </c>
      <c r="G51" s="10" t="s">
        <v>176</v>
      </c>
      <c r="H51" s="11" t="s">
        <v>177</v>
      </c>
      <c r="I51" s="10" t="s">
        <v>8</v>
      </c>
      <c r="J51" s="63" t="s">
        <v>171</v>
      </c>
      <c r="K51" s="21"/>
      <c r="L51" s="32"/>
    </row>
    <row r="52" ht="28" spans="1:12">
      <c r="A52" s="15"/>
      <c r="B52" s="5" t="s">
        <v>182</v>
      </c>
      <c r="C52" s="6" t="s">
        <v>375</v>
      </c>
      <c r="D52" s="6"/>
      <c r="E52" s="64" t="s">
        <v>376</v>
      </c>
      <c r="F52" s="9" t="s">
        <v>183</v>
      </c>
      <c r="G52" s="10" t="s">
        <v>185</v>
      </c>
      <c r="H52" s="11" t="s">
        <v>18</v>
      </c>
      <c r="I52" s="10" t="s">
        <v>19</v>
      </c>
      <c r="J52" s="10">
        <f>J5</f>
        <v>570</v>
      </c>
      <c r="K52" s="21"/>
    </row>
    <row r="53" spans="1:12">
      <c r="A53" s="15"/>
      <c r="B53" s="16"/>
      <c r="C53" s="27"/>
      <c r="D53" s="27"/>
      <c r="E53" s="64" t="s">
        <v>377</v>
      </c>
      <c r="F53" s="9" t="s">
        <v>187</v>
      </c>
      <c r="G53" s="10" t="s">
        <v>188</v>
      </c>
      <c r="H53" s="11" t="s">
        <v>18</v>
      </c>
      <c r="I53" s="10" t="s">
        <v>19</v>
      </c>
      <c r="J53" s="10" t="str">
        <f>J11</f>
        <v/>
      </c>
      <c r="K53" s="21"/>
    </row>
    <row r="54" spans="1:12">
      <c r="A54" s="15"/>
      <c r="B54" s="16"/>
      <c r="C54" s="27"/>
      <c r="D54" s="27"/>
      <c r="E54" s="64" t="s">
        <v>378</v>
      </c>
      <c r="F54" s="9" t="s">
        <v>189</v>
      </c>
      <c r="G54" s="10" t="s">
        <v>190</v>
      </c>
      <c r="H54" s="11" t="s">
        <v>18</v>
      </c>
      <c r="I54" s="10" t="s">
        <v>19</v>
      </c>
      <c r="J54" s="10">
        <f>J16</f>
        <v>200</v>
      </c>
      <c r="K54" s="21"/>
    </row>
    <row r="55" spans="1:12">
      <c r="A55" s="15"/>
      <c r="B55" s="16"/>
      <c r="C55" s="27"/>
      <c r="D55" s="27"/>
      <c r="E55" s="64" t="s">
        <v>379</v>
      </c>
      <c r="F55" s="9" t="s">
        <v>191</v>
      </c>
      <c r="G55" s="10" t="s">
        <v>192</v>
      </c>
      <c r="H55" s="11" t="s">
        <v>18</v>
      </c>
      <c r="I55" s="10" t="s">
        <v>19</v>
      </c>
      <c r="J55" s="10" t="str">
        <f>J6</f>
        <v>判据GUOC_PV250_PJ01:COM  、 GUOC_PV320_PJ02:COM</v>
      </c>
      <c r="K55" s="21"/>
    </row>
    <row r="56" ht="28" spans="1:12">
      <c r="A56" s="15"/>
      <c r="B56" s="16"/>
      <c r="C56" s="27"/>
      <c r="D56" s="17"/>
      <c r="E56" s="64" t="s">
        <v>380</v>
      </c>
      <c r="F56" s="9" t="s">
        <v>194</v>
      </c>
      <c r="G56" s="10" t="s">
        <v>195</v>
      </c>
      <c r="H56" s="11" t="s">
        <v>18</v>
      </c>
      <c r="I56" s="10" t="s">
        <v>19</v>
      </c>
      <c r="J56" s="10" t="str">
        <f>J33</f>
        <v>GUOC_LV_METER:EP1 + GUOC_LV_METER:EP2</v>
      </c>
      <c r="K56" s="21"/>
    </row>
    <row r="57" ht="28" spans="1:12">
      <c r="A57" s="15"/>
      <c r="B57" s="16"/>
      <c r="C57" s="27"/>
      <c r="D57" s="6"/>
      <c r="E57" s="64" t="s">
        <v>381</v>
      </c>
      <c r="F57" s="9" t="s">
        <v>197</v>
      </c>
      <c r="G57" s="10" t="s">
        <v>198</v>
      </c>
      <c r="H57" s="11" t="s">
        <v>18</v>
      </c>
      <c r="I57" s="10" t="s">
        <v>19</v>
      </c>
      <c r="J57" s="10">
        <f>J32</f>
        <v>0</v>
      </c>
      <c r="K57" s="21"/>
    </row>
    <row r="58" ht="28" spans="1:12">
      <c r="A58" s="15"/>
      <c r="B58" s="16"/>
      <c r="C58" s="27"/>
      <c r="D58" s="27"/>
      <c r="E58" s="64" t="s">
        <v>382</v>
      </c>
      <c r="F58" s="9" t="s">
        <v>199</v>
      </c>
      <c r="G58" s="10" t="s">
        <v>200</v>
      </c>
      <c r="H58" s="65" t="s">
        <v>201</v>
      </c>
      <c r="I58" s="10" t="s">
        <v>19</v>
      </c>
      <c r="J58" s="26" t="s">
        <v>383</v>
      </c>
      <c r="K58" s="21"/>
    </row>
    <row r="59" ht="28" spans="1:12">
      <c r="A59" s="15"/>
      <c r="B59" s="16"/>
      <c r="C59" s="27"/>
      <c r="D59" s="27"/>
      <c r="E59" s="64" t="s">
        <v>384</v>
      </c>
      <c r="F59" s="66" t="s">
        <v>203</v>
      </c>
      <c r="G59" s="10" t="s">
        <v>204</v>
      </c>
      <c r="H59" s="11" t="s">
        <v>18</v>
      </c>
      <c r="I59" s="10" t="s">
        <v>19</v>
      </c>
      <c r="J59" s="30" t="s">
        <v>351</v>
      </c>
      <c r="K59" s="21"/>
    </row>
    <row r="60" spans="1:12">
      <c r="A60" s="15"/>
      <c r="B60" s="16"/>
      <c r="C60" s="27"/>
      <c r="D60" s="27"/>
      <c r="E60" s="64" t="s">
        <v>385</v>
      </c>
      <c r="F60" s="9" t="s">
        <v>207</v>
      </c>
      <c r="G60" s="10" t="s">
        <v>208</v>
      </c>
      <c r="H60" s="11" t="s">
        <v>18</v>
      </c>
      <c r="I60" s="10" t="s">
        <v>19</v>
      </c>
      <c r="J60" s="10" t="s">
        <v>14</v>
      </c>
      <c r="K60" s="21"/>
    </row>
    <row r="61" ht="28" spans="1:12">
      <c r="A61" s="15"/>
      <c r="B61" s="16"/>
      <c r="C61" s="17"/>
      <c r="D61" s="17"/>
      <c r="E61" s="64" t="s">
        <v>386</v>
      </c>
      <c r="F61" s="9" t="s">
        <v>209</v>
      </c>
      <c r="G61" s="10" t="s">
        <v>210</v>
      </c>
      <c r="H61" s="11" t="s">
        <v>18</v>
      </c>
      <c r="I61" s="10" t="s">
        <v>19</v>
      </c>
      <c r="J61" s="10" t="s">
        <v>14</v>
      </c>
      <c r="K61" s="21"/>
    </row>
    <row r="62" ht="28" spans="1:12">
      <c r="A62" s="15"/>
      <c r="B62" s="67" t="s">
        <v>224</v>
      </c>
      <c r="C62" s="6"/>
      <c r="D62" s="6"/>
      <c r="E62" s="64" t="s">
        <v>387</v>
      </c>
      <c r="F62" s="9" t="s">
        <v>227</v>
      </c>
      <c r="G62" s="10" t="s">
        <v>228</v>
      </c>
      <c r="H62" s="11" t="s">
        <v>229</v>
      </c>
      <c r="I62" s="10" t="s">
        <v>19</v>
      </c>
      <c r="J62" s="31" t="s">
        <v>388</v>
      </c>
      <c r="K62" s="21"/>
      <c r="L62" s="22"/>
    </row>
    <row r="63" spans="1:12">
      <c r="A63" s="15"/>
      <c r="B63" s="68"/>
      <c r="C63" s="27"/>
      <c r="D63" s="27"/>
      <c r="E63" s="64" t="s">
        <v>389</v>
      </c>
      <c r="F63" s="9" t="s">
        <v>233</v>
      </c>
      <c r="G63" s="10" t="s">
        <v>234</v>
      </c>
      <c r="H63" s="11" t="s">
        <v>229</v>
      </c>
      <c r="I63" s="10" t="s">
        <v>19</v>
      </c>
      <c r="J63" s="30" t="s">
        <v>390</v>
      </c>
      <c r="K63" s="21"/>
    </row>
    <row r="64" spans="1:12">
      <c r="A64" s="15"/>
      <c r="B64" s="68"/>
      <c r="C64" s="27"/>
      <c r="D64" s="27"/>
      <c r="E64" s="64" t="s">
        <v>391</v>
      </c>
      <c r="F64" s="9" t="s">
        <v>237</v>
      </c>
      <c r="G64" s="10" t="s">
        <v>238</v>
      </c>
      <c r="H64" s="11" t="s">
        <v>229</v>
      </c>
      <c r="I64" s="10" t="s">
        <v>19</v>
      </c>
      <c r="J64" s="35" t="s">
        <v>370</v>
      </c>
      <c r="K64" s="69"/>
    </row>
    <row r="65" ht="28" spans="1:11">
      <c r="A65" s="15"/>
      <c r="B65" s="68"/>
      <c r="C65" s="27"/>
      <c r="D65" s="27"/>
      <c r="E65" s="64" t="s">
        <v>392</v>
      </c>
      <c r="F65" s="9" t="s">
        <v>240</v>
      </c>
      <c r="G65" s="10" t="s">
        <v>241</v>
      </c>
      <c r="H65" s="11" t="s">
        <v>229</v>
      </c>
      <c r="I65" s="10" t="s">
        <v>19</v>
      </c>
      <c r="J65" s="30" t="s">
        <v>393</v>
      </c>
      <c r="K65" s="69"/>
    </row>
    <row r="66" ht="28" spans="1:11">
      <c r="A66" s="15"/>
      <c r="B66" s="68"/>
      <c r="C66" s="27"/>
      <c r="D66" s="17"/>
      <c r="E66" s="64" t="s">
        <v>394</v>
      </c>
      <c r="F66" s="9" t="s">
        <v>243</v>
      </c>
      <c r="G66" s="10" t="s">
        <v>244</v>
      </c>
      <c r="H66" s="11" t="s">
        <v>229</v>
      </c>
      <c r="I66" s="10" t="s">
        <v>19</v>
      </c>
      <c r="J66" s="30" t="s">
        <v>372</v>
      </c>
      <c r="K66" s="69"/>
    </row>
    <row r="67" ht="28" spans="1:11">
      <c r="A67" s="15"/>
      <c r="B67" s="68"/>
      <c r="C67" s="27"/>
      <c r="D67" s="6"/>
      <c r="E67" s="64" t="s">
        <v>395</v>
      </c>
      <c r="F67" s="9" t="s">
        <v>247</v>
      </c>
      <c r="G67" s="10" t="s">
        <v>248</v>
      </c>
      <c r="H67" s="11" t="s">
        <v>229</v>
      </c>
      <c r="I67" s="10" t="s">
        <v>19</v>
      </c>
      <c r="J67" s="10" t="s">
        <v>14</v>
      </c>
      <c r="K67" s="69"/>
    </row>
    <row r="68" spans="1:11">
      <c r="A68" s="15"/>
      <c r="B68" s="68"/>
      <c r="C68" s="27"/>
      <c r="D68" s="27"/>
      <c r="E68" s="70" t="s">
        <v>396</v>
      </c>
      <c r="F68" s="9" t="s">
        <v>145</v>
      </c>
      <c r="G68" s="10" t="s">
        <v>250</v>
      </c>
      <c r="H68" s="11" t="s">
        <v>147</v>
      </c>
      <c r="I68" s="10" t="s">
        <v>251</v>
      </c>
      <c r="J68" s="10" t="s">
        <v>14</v>
      </c>
      <c r="K68" s="69"/>
    </row>
    <row r="69" spans="1:11">
      <c r="A69" s="15"/>
      <c r="B69" s="68"/>
      <c r="C69" s="27"/>
      <c r="D69" s="27"/>
      <c r="E69" s="17"/>
      <c r="F69" s="9" t="s">
        <v>252</v>
      </c>
      <c r="G69" s="10" t="s">
        <v>253</v>
      </c>
      <c r="H69" s="11" t="s">
        <v>89</v>
      </c>
      <c r="I69" s="10" t="s">
        <v>19</v>
      </c>
      <c r="J69" s="10" t="s">
        <v>14</v>
      </c>
      <c r="K69" s="69"/>
    </row>
    <row r="70" ht="28" spans="1:11">
      <c r="A70" s="15"/>
      <c r="B70" s="68"/>
      <c r="C70" s="27"/>
      <c r="D70" s="27"/>
      <c r="E70" s="64" t="s">
        <v>397</v>
      </c>
      <c r="F70" s="9" t="s">
        <v>163</v>
      </c>
      <c r="G70" s="10" t="s">
        <v>255</v>
      </c>
      <c r="H70" s="11" t="s">
        <v>89</v>
      </c>
      <c r="I70" s="10" t="s">
        <v>19</v>
      </c>
      <c r="J70" s="10" t="s">
        <v>14</v>
      </c>
      <c r="K70" s="69"/>
    </row>
    <row r="71" spans="1:11">
      <c r="A71" s="15"/>
      <c r="B71" s="68"/>
      <c r="C71" s="27"/>
      <c r="D71" s="17"/>
      <c r="E71" s="64" t="s">
        <v>398</v>
      </c>
      <c r="F71" s="9" t="s">
        <v>161</v>
      </c>
      <c r="G71" s="10" t="s">
        <v>257</v>
      </c>
      <c r="H71" s="11" t="s">
        <v>89</v>
      </c>
      <c r="I71" s="10" t="s">
        <v>19</v>
      </c>
      <c r="J71" s="10" t="s">
        <v>14</v>
      </c>
      <c r="K71" s="69"/>
    </row>
    <row r="72" ht="28" spans="1:11">
      <c r="A72" s="15"/>
      <c r="B72" s="68"/>
      <c r="C72" s="27"/>
      <c r="D72" s="6"/>
      <c r="E72" s="64" t="s">
        <v>399</v>
      </c>
      <c r="F72" s="9" t="s">
        <v>158</v>
      </c>
      <c r="G72" s="10" t="s">
        <v>260</v>
      </c>
      <c r="H72" s="11" t="s">
        <v>89</v>
      </c>
      <c r="I72" s="10" t="s">
        <v>19</v>
      </c>
      <c r="J72" s="26"/>
      <c r="K72" s="69"/>
    </row>
    <row r="73" ht="28" spans="1:11">
      <c r="A73" s="15"/>
      <c r="B73" s="71"/>
      <c r="C73" s="17"/>
      <c r="D73" s="17"/>
      <c r="E73" s="64" t="s">
        <v>400</v>
      </c>
      <c r="F73" s="9" t="s">
        <v>155</v>
      </c>
      <c r="G73" s="10" t="s">
        <v>262</v>
      </c>
      <c r="H73" s="11" t="s">
        <v>89</v>
      </c>
      <c r="I73" s="10" t="s">
        <v>19</v>
      </c>
      <c r="J73" s="26"/>
      <c r="K73" s="69"/>
    </row>
    <row r="74" spans="1:11">
      <c r="A74" s="15"/>
      <c r="B74" s="72"/>
      <c r="C74" s="11"/>
      <c r="D74" s="39"/>
      <c r="E74" s="11"/>
      <c r="F74" s="41"/>
      <c r="G74" s="10"/>
      <c r="H74" s="11"/>
      <c r="I74" s="10"/>
      <c r="J74" s="20"/>
      <c r="K74" s="69"/>
    </row>
    <row r="75" spans="1:11">
      <c r="A75" s="39"/>
      <c r="B75" s="11"/>
      <c r="C75" s="11"/>
      <c r="D75" s="39"/>
      <c r="E75" s="11"/>
      <c r="F75" s="41"/>
      <c r="G75" s="10"/>
      <c r="H75" s="11"/>
      <c r="I75" s="10"/>
      <c r="J75" s="20"/>
      <c r="K75" s="69"/>
    </row>
    <row r="76" spans="1:11">
      <c r="A76" s="39"/>
      <c r="B76" s="11"/>
      <c r="C76" s="43"/>
      <c r="D76" s="4"/>
      <c r="E76" s="43"/>
      <c r="F76" s="73"/>
      <c r="G76" s="74"/>
      <c r="H76" s="43"/>
      <c r="I76" s="74"/>
      <c r="J76" s="20"/>
      <c r="K76" s="69"/>
    </row>
    <row r="77" spans="1:11">
      <c r="A77" s="39"/>
      <c r="B77" s="11"/>
      <c r="C77" s="11"/>
      <c r="D77" s="39"/>
      <c r="E77" s="11"/>
      <c r="F77" s="41"/>
      <c r="G77" s="10"/>
      <c r="H77" s="11"/>
      <c r="I77" s="10"/>
      <c r="J77" s="20"/>
      <c r="K77" s="69"/>
    </row>
    <row r="78" spans="1:11">
      <c r="A78" s="40"/>
      <c r="B78" s="37"/>
      <c r="C78" s="11"/>
      <c r="D78" s="39"/>
      <c r="E78" s="11"/>
      <c r="F78" s="41"/>
      <c r="G78" s="10"/>
      <c r="H78" s="11"/>
      <c r="I78" s="10"/>
      <c r="J78" s="20"/>
      <c r="K78" s="69"/>
    </row>
    <row r="79" spans="1:11">
      <c r="A79" s="40"/>
      <c r="B79" s="37"/>
      <c r="C79" s="11"/>
      <c r="D79" s="39"/>
      <c r="E79" s="11"/>
      <c r="F79" s="41"/>
      <c r="G79" s="10"/>
      <c r="H79" s="11"/>
      <c r="I79" s="10"/>
      <c r="J79" s="20"/>
      <c r="K79" s="69"/>
    </row>
    <row r="80" spans="1:11">
      <c r="A80" s="40"/>
      <c r="B80" s="37"/>
      <c r="C80" s="11"/>
      <c r="D80" s="39"/>
      <c r="E80" s="11"/>
      <c r="F80" s="41"/>
      <c r="G80" s="10"/>
      <c r="H80" s="11"/>
      <c r="I80" s="10"/>
      <c r="J80" s="20"/>
      <c r="K80" s="69"/>
    </row>
    <row r="81" spans="1:11">
      <c r="A81" s="40"/>
      <c r="B81" s="37"/>
      <c r="C81" s="11"/>
      <c r="D81" s="39"/>
      <c r="E81" s="11"/>
      <c r="F81" s="41"/>
      <c r="G81" s="10"/>
      <c r="H81" s="11"/>
      <c r="I81" s="10"/>
      <c r="J81" s="20"/>
      <c r="K81" s="69"/>
    </row>
    <row r="82" spans="1:11">
      <c r="A82" s="40"/>
      <c r="B82" s="37"/>
      <c r="C82" s="11"/>
      <c r="D82" s="39"/>
      <c r="E82" s="11"/>
      <c r="F82" s="41"/>
      <c r="G82" s="10"/>
      <c r="H82" s="11"/>
      <c r="I82" s="10"/>
      <c r="J82" s="20"/>
      <c r="K82" s="69"/>
    </row>
    <row r="83" spans="1:11">
      <c r="A83" s="40"/>
      <c r="B83" s="37"/>
      <c r="C83" s="11"/>
      <c r="D83" s="39"/>
      <c r="E83" s="11"/>
      <c r="F83" s="41"/>
      <c r="G83" s="10"/>
      <c r="H83" s="11"/>
      <c r="I83" s="10"/>
      <c r="J83" s="20"/>
      <c r="K83" s="69"/>
    </row>
    <row r="84" spans="1:11">
      <c r="A84" s="75"/>
      <c r="B84" s="75"/>
      <c r="C84" s="75"/>
      <c r="D84" s="76"/>
      <c r="E84" s="39"/>
      <c r="F84" s="75"/>
      <c r="G84" s="75"/>
      <c r="H84" s="76"/>
      <c r="I84" s="75"/>
      <c r="J84" s="75"/>
      <c r="K84" s="75"/>
    </row>
  </sheetData>
  <mergeCells count="41">
    <mergeCell ref="A2:A74"/>
    <mergeCell ref="B2:B3"/>
    <mergeCell ref="B5:B30"/>
    <mergeCell ref="B33:B39"/>
    <mergeCell ref="B41:B44"/>
    <mergeCell ref="B46:B48"/>
    <mergeCell ref="B49:B51"/>
    <mergeCell ref="B52:B61"/>
    <mergeCell ref="B62:B73"/>
    <mergeCell ref="C2:C3"/>
    <mergeCell ref="C5:C30"/>
    <mergeCell ref="C33:C39"/>
    <mergeCell ref="C41:C44"/>
    <mergeCell ref="C46:C48"/>
    <mergeCell ref="C49:C51"/>
    <mergeCell ref="C52:C61"/>
    <mergeCell ref="C62:C73"/>
    <mergeCell ref="D2:D3"/>
    <mergeCell ref="D5:D9"/>
    <mergeCell ref="D10:D14"/>
    <mergeCell ref="D15:D19"/>
    <mergeCell ref="D20:D25"/>
    <mergeCell ref="D26:D30"/>
    <mergeCell ref="D33:D39"/>
    <mergeCell ref="D41:D44"/>
    <mergeCell ref="D46:D48"/>
    <mergeCell ref="D49:D51"/>
    <mergeCell ref="D52:D56"/>
    <mergeCell ref="D57:D61"/>
    <mergeCell ref="D62:D66"/>
    <mergeCell ref="D67:D71"/>
    <mergeCell ref="D72:D73"/>
    <mergeCell ref="E2:E3"/>
    <mergeCell ref="E5:E9"/>
    <mergeCell ref="E10:E14"/>
    <mergeCell ref="E15:E19"/>
    <mergeCell ref="E20:E25"/>
    <mergeCell ref="E26:E30"/>
    <mergeCell ref="E33:E39"/>
    <mergeCell ref="E41:E44"/>
    <mergeCell ref="E68:E6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可视化WebSocket订阅接口-解析字段说明</vt:lpstr>
      <vt:lpstr>郭村服务区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jsp丨java|AH</cp:lastModifiedBy>
  <dcterms:created xsi:type="dcterms:W3CDTF">2026-05-18T07:24:00Z</dcterms:created>
  <dcterms:modified xsi:type="dcterms:W3CDTF">2026-09-04T08:53:49Z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9266B96D56424EBD8128F9D682705E5B_13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